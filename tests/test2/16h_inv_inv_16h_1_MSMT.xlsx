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E49D7BBB-CD1B-4D4B-8431-90293AD6F3D2}" xr6:coauthVersionLast="47" xr6:coauthVersionMax="47" xr10:uidLastSave="{00000000-0000-0000-0000-000000000000}"/>
  <bookViews>
    <workbookView xWindow="2565" yWindow="1845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X8" i="6" s="1"/>
  <c r="AF7" i="7"/>
  <c r="AG7" i="7"/>
  <c r="AD8" i="7"/>
  <c r="AE8" i="7"/>
  <c r="X9" i="6" s="1"/>
  <c r="AF8" i="7"/>
  <c r="AG8" i="7"/>
  <c r="AH8" i="7"/>
  <c r="AD9" i="7"/>
  <c r="AE9" i="7"/>
  <c r="X10" i="6" s="1"/>
  <c r="AF9" i="7"/>
  <c r="AG9" i="7"/>
  <c r="AH9" i="7"/>
  <c r="AD10" i="7"/>
  <c r="AE10" i="7"/>
  <c r="X11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8" i="6" s="1"/>
  <c r="AF16" i="7"/>
  <c r="AG16" i="7"/>
  <c r="AH16" i="7"/>
  <c r="AD17" i="7"/>
  <c r="AE17" i="7"/>
  <c r="X20" i="6" s="1"/>
  <c r="AF17" i="7"/>
  <c r="AG17" i="7"/>
  <c r="AH17" i="7"/>
  <c r="AD18" i="7"/>
  <c r="AE18" i="7"/>
  <c r="X21" i="6" s="1"/>
  <c r="AF18" i="7"/>
  <c r="AG18" i="7"/>
  <c r="AH18" i="7"/>
  <c r="AD19" i="7"/>
  <c r="AE19" i="7"/>
  <c r="X22" i="6" s="1"/>
  <c r="AF19" i="7"/>
  <c r="AG19" i="7"/>
  <c r="AH19" i="7"/>
  <c r="AD20" i="7"/>
  <c r="AE20" i="7"/>
  <c r="AF20" i="7"/>
  <c r="AG20" i="7"/>
  <c r="AH20" i="7"/>
  <c r="AD21" i="7"/>
  <c r="AE21" i="7"/>
  <c r="AF21" i="7"/>
  <c r="AG21" i="7"/>
  <c r="AH21" i="7"/>
  <c r="AD22" i="7"/>
  <c r="AE22" i="7"/>
  <c r="AF22" i="7"/>
  <c r="AG22" i="7"/>
  <c r="AH22" i="7"/>
  <c r="AD23" i="7"/>
  <c r="AE23" i="7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X12" i="6" s="1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X19" i="6" s="1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X23" i="6" s="1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AF65" i="7"/>
  <c r="AG65" i="7"/>
  <c r="AH65" i="7"/>
  <c r="AD66" i="7"/>
  <c r="AE66" i="7"/>
  <c r="AF66" i="7"/>
  <c r="AG66" i="7"/>
  <c r="AH66" i="7"/>
  <c r="AD67" i="7"/>
  <c r="AE67" i="7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AF75" i="7"/>
  <c r="AG75" i="7"/>
  <c r="AH75" i="7"/>
  <c r="AD76" i="7"/>
  <c r="AE76" i="7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AB6" i="7"/>
  <c r="Z6" i="7"/>
  <c r="U6" i="7"/>
  <c r="AF6" i="7"/>
  <c r="T6" i="7"/>
  <c r="R6" i="7"/>
  <c r="Q6" i="7"/>
  <c r="S6" i="7"/>
  <c r="AE6" i="7"/>
  <c r="X7" i="6" s="1"/>
  <c r="AC6" i="7"/>
  <c r="AA6" i="7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T7" i="6"/>
  <c r="U7" i="6"/>
  <c r="W7" i="6"/>
  <c r="Y7" i="6"/>
  <c r="Z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<sst xmlns="http://schemas.openxmlformats.org/spreadsheetml/2006/main" count="501" uniqueCount="125">
  <si>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</si>
  <si>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</si>
  <si>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</si>
  <si>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</si>
  <si>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</si>
  <si>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</si>
  <si>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</si>
  <si>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</si>
  <si>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</si>
  <si>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</si>
  <si>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</si>
  <si>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</si>
  <si>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</si>
  <si>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</si>
  <si>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</si>
  <si>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</si>
  <si>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</si>
  <si>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</si>
  <si>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</si>
  <si>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</si>
  <si>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</si>
  <si>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</si>
  <si>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</si>
  <si>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</si>
  <si>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</si>
  <si>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</si>
  <si>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</si>
  <si>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</si>
  <si>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</si>
  <si>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</si>
  <si>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</si>
  <si>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</si>
  <si>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</si>
  <si>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</si>
  <si>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</si>
  <si>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</si>
  <si>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</si>
  <si>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</si>
  <si>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</si>
  <si>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</si>
  <si>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</si>
  <si>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</si>
  <si>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</si>
  <si>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</si>
  <si>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</si>
  <si>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</si>
  <si>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</si>
  <si>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</si>
  <si>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</si>
  <si>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</si>
  <si>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</si>
  <si>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</si>
  <si>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</si>
  <si>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</si>
  <si>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</si>
  <si>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</si>
  <si>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</si>
  <si>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</si>
  <si>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</si>
  <si>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</si>
  <si>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</si>
  <si>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</si>
  <si>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</si>
  <si>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</si>
  <si>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</si>
  <si>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</si>
  <si>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</si>
  <si>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</si>
  <si>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</si>
  <si>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</si>
  <si>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</si>
  <si>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</si>
  <si>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</si>
  <si>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</si>
  <si>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</si>
  <si>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</si>
  <si>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</si>
  <si>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</si>
  <si>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</si>
  <si>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</si>
  <si>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</si>
  <si>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</si>
  <si>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Antala Štěpán</t>
  </si>
  <si>
    <t>Benč Patrik</t>
  </si>
  <si>
    <t>Boruvka Matyáš</t>
  </si>
  <si>
    <t>Brenkusová Vanesa</t>
  </si>
  <si>
    <t>Brixelová Elen</t>
  </si>
  <si>
    <t>Hájková Valérie</t>
  </si>
  <si>
    <t>Chudý Dominik</t>
  </si>
  <si>
    <t>Ježková Vendula</t>
  </si>
  <si>
    <t>Juráň Jindřich</t>
  </si>
  <si>
    <t>Krywdová Eliška</t>
  </si>
  <si>
    <t>Marko Radek</t>
  </si>
  <si>
    <t>Ondříšek Václav</t>
  </si>
  <si>
    <t>Patrman Ondřej</t>
  </si>
  <si>
    <t>Polák Filip</t>
  </si>
  <si>
    <t>Poliaková Julie</t>
  </si>
  <si>
    <t>Přecechtěl František</t>
  </si>
  <si>
    <t>Semančíková Anežka</t>
  </si>
  <si>
    <t>Soška Filip</t>
  </si>
  <si>
    <t>Trávníčková Anastázie</t>
  </si>
  <si>
    <t>Vala Tomáš</t>
  </si>
  <si>
    <t>10.09.2025</t>
  </si>
  <si>
    <t>8:50</t>
  </si>
  <si>
    <t>PhDr. Mgr.  Miroslav Hanuš</t>
  </si>
  <si>
    <t>12.09.2025</t>
  </si>
  <si>
    <t>7:55</t>
  </si>
  <si>
    <t>M. Hanuš</t>
  </si>
  <si>
    <t>17.09.2025</t>
  </si>
  <si>
    <t>19.09.2025</t>
  </si>
  <si>
    <t>24.09.2025</t>
  </si>
  <si>
    <t>26.09.2025</t>
  </si>
  <si>
    <t>01.10.2025</t>
  </si>
  <si>
    <t>03.10.2025</t>
  </si>
  <si>
    <t>08.10.2025</t>
  </si>
  <si>
    <t>10.10.2025</t>
  </si>
  <si>
    <t>15.10.2025</t>
  </si>
  <si>
    <t>17.10.2025</t>
  </si>
  <si>
    <t>24.10.2025</t>
  </si>
  <si>
    <t>31.10.2025</t>
  </si>
  <si>
    <t>05.11.2025</t>
  </si>
  <si>
    <t>07.11.2025</t>
  </si>
  <si>
    <t>12.11.2025</t>
  </si>
  <si>
    <t>14.11.2025</t>
  </si>
  <si>
    <t>7:55-8.40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</si>
</sst>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16</v>
      </c>
      <c r="D4" s="49">
        <f>SUMIF(Přehled!$D$3:$D$1000,'Seznam účastníků'!$B4,Přehled!K$3:K$1000)</f>
        <v>5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0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2</v>
      </c>
      <c r="J4" s="34">
        <f>SUMIF(Přehled!$D$3:$D$1000,'Seznam účastníků'!$B4,Přehled!Q$3:Q$1000)</f>
        <v>2</v>
      </c>
      <c r="K4" s="44">
        <f>SUMIF(Přehled!$D$3:$D$1000,'Seznam účastníků'!$B4,Přehled!R$3:R$1000)</f>
        <v>0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2</v>
      </c>
      <c r="S4" s="34">
        <f>SUMIF(Přehled!$D$3:$D$1000,'Seznam účastníků'!$B4,Přehled!Z$3:Z$1000)</f>
        <v>8</v>
      </c>
      <c r="T4" s="34">
        <f>SUMIF(Přehled!$D$3:$D$1000,'Seznam účastníků'!$B4,Přehled!AA$3:AA$1000)</f>
        <v>4</v>
      </c>
      <c r="U4" s="34">
        <f>SUMIF(Přehled!$D$3:$D$1000,'Seznam účastníků'!$B4,Přehled!AB$3:AB$1000)</f>
        <v>2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15</v>
      </c>
      <c r="D5" s="50">
        <f>SUMIF(Přehled!$D$3:$D$1000,'Seznam účastníků'!$B5,Přehled!K$3:K$1000)</f>
        <v>5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0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2</v>
      </c>
      <c r="J5" s="35">
        <f>SUMIF(Přehled!$D$3:$D$1000,'Seznam účastníků'!$B5,Přehled!Q$3:Q$1000)</f>
        <v>2</v>
      </c>
      <c r="K5" s="37">
        <f>SUMIF(Přehled!$D$3:$D$1000,'Seznam účastníků'!$B5,Přehled!R$3:R$1000)</f>
        <v>0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2</v>
      </c>
      <c r="S5" s="34">
        <f>SUMIF(Přehled!$D$3:$D$1000,'Seznam účastníků'!$B5,Přehled!Z$3:Z$1000)</f>
        <v>6</v>
      </c>
      <c r="T5" s="34">
        <f>SUMIF(Přehled!$D$3:$D$1000,'Seznam účastníků'!$B5,Přehled!AA$3:AA$1000)</f>
        <v>5</v>
      </c>
      <c r="U5" s="34">
        <f>SUMIF(Přehled!$D$3:$D$1000,'Seznam účastníků'!$B5,Přehled!AB$3:AB$1000)</f>
        <v>2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18</v>
      </c>
      <c r="D6" s="50">
        <f>SUMIF(Přehled!$D$3:$D$1000,'Seznam účastníků'!$B6,Přehled!K$3:K$1000)</f>
        <v>6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0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3</v>
      </c>
      <c r="J6" s="35">
        <f>SUMIF(Přehled!$D$3:$D$1000,'Seznam účastníků'!$B6,Přehled!Q$3:Q$1000)</f>
        <v>2</v>
      </c>
      <c r="K6" s="37">
        <f>SUMIF(Přehled!$D$3:$D$1000,'Seznam účastníků'!$B6,Přehled!R$3:R$1000)</f>
        <v>0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2</v>
      </c>
      <c r="S6" s="34">
        <f>SUMIF(Přehled!$D$3:$D$1000,'Seznam účastníků'!$B6,Přehled!Z$3:Z$1000)</f>
        <v>8</v>
      </c>
      <c r="T6" s="34">
        <f>SUMIF(Přehled!$D$3:$D$1000,'Seznam účastníků'!$B6,Přehled!AA$3:AA$1000)</f>
        <v>6</v>
      </c>
      <c r="U6" s="34">
        <f>SUMIF(Přehled!$D$3:$D$1000,'Seznam účastníků'!$B6,Přehled!AB$3:AB$1000)</f>
        <v>2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15</v>
      </c>
      <c r="D7" s="50">
        <f>SUMIF(Přehled!$D$3:$D$1000,'Seznam účastníků'!$B7,Přehled!K$3:K$1000)</f>
        <v>4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0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3</v>
      </c>
      <c r="J7" s="35">
        <f>SUMIF(Přehled!$D$3:$D$1000,'Seznam účastníků'!$B7,Přehled!Q$3:Q$1000)</f>
        <v>2</v>
      </c>
      <c r="K7" s="37">
        <f>SUMIF(Přehled!$D$3:$D$1000,'Seznam účastníků'!$B7,Přehled!R$3:R$1000)</f>
        <v>0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2</v>
      </c>
      <c r="S7" s="34">
        <f>SUMIF(Přehled!$D$3:$D$1000,'Seznam účastníků'!$B7,Přehled!Z$3:Z$1000)</f>
        <v>5</v>
      </c>
      <c r="T7" s="34">
        <f>SUMIF(Přehled!$D$3:$D$1000,'Seznam účastníků'!$B7,Přehled!AA$3:AA$1000)</f>
        <v>6</v>
      </c>
      <c r="U7" s="34">
        <f>SUMIF(Přehled!$D$3:$D$1000,'Seznam účastníků'!$B7,Přehled!AB$3:AB$1000)</f>
        <v>2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16</v>
      </c>
      <c r="D8" s="50">
        <f>SUMIF(Přehled!$D$3:$D$1000,'Seznam účastníků'!$B8,Přehled!K$3:K$1000)</f>
        <v>5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0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3</v>
      </c>
      <c r="J8" s="35">
        <f>SUMIF(Přehled!$D$3:$D$1000,'Seznam účastníků'!$B8,Přehled!Q$3:Q$1000)</f>
        <v>2</v>
      </c>
      <c r="K8" s="37">
        <f>SUMIF(Přehled!$D$3:$D$1000,'Seznam účastníků'!$B8,Přehled!R$3:R$1000)</f>
        <v>0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2</v>
      </c>
      <c r="S8" s="34">
        <f>SUMIF(Přehled!$D$3:$D$1000,'Seznam účastníků'!$B8,Přehled!Z$3:Z$1000)</f>
        <v>6</v>
      </c>
      <c r="T8" s="34">
        <f>SUMIF(Přehled!$D$3:$D$1000,'Seznam účastníků'!$B8,Přehled!AA$3:AA$1000)</f>
        <v>6</v>
      </c>
      <c r="U8" s="34">
        <f>SUMIF(Přehled!$D$3:$D$1000,'Seznam účastníků'!$B8,Přehled!AB$3:AB$1000)</f>
        <v>2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16</v>
      </c>
      <c r="D9" s="50">
        <f>SUMIF(Přehled!$D$3:$D$1000,'Seznam účastníků'!$B9,Přehled!K$3:K$1000)</f>
        <v>5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0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3</v>
      </c>
      <c r="J9" s="35">
        <f>SUMIF(Přehled!$D$3:$D$1000,'Seznam účastníků'!$B9,Přehled!Q$3:Q$1000)</f>
        <v>1</v>
      </c>
      <c r="K9" s="37">
        <f>SUMIF(Přehled!$D$3:$D$1000,'Seznam účastníků'!$B9,Přehled!R$3:R$1000)</f>
        <v>0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1</v>
      </c>
      <c r="S9" s="34">
        <f>SUMIF(Přehled!$D$3:$D$1000,'Seznam účastníků'!$B9,Přehled!Z$3:Z$1000)</f>
        <v>8</v>
      </c>
      <c r="T9" s="34">
        <f>SUMIF(Přehled!$D$3:$D$1000,'Seznam účastníků'!$B9,Přehled!AA$3:AA$1000)</f>
        <v>6</v>
      </c>
      <c r="U9" s="34">
        <f>SUMIF(Přehled!$D$3:$D$1000,'Seznam účastníků'!$B9,Přehled!AB$3:AB$1000)</f>
        <v>1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17</v>
      </c>
      <c r="D10" s="50">
        <f>SUMIF(Přehled!$D$3:$D$1000,'Seznam účastníků'!$B10,Přehled!K$3:K$1000)</f>
        <v>6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0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2</v>
      </c>
      <c r="J10" s="35">
        <f>SUMIF(Přehled!$D$3:$D$1000,'Seznam účastníků'!$B10,Přehled!Q$3:Q$1000)</f>
        <v>2</v>
      </c>
      <c r="K10" s="37">
        <f>SUMIF(Přehled!$D$3:$D$1000,'Seznam účastníků'!$B10,Přehled!R$3:R$1000)</f>
        <v>0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2</v>
      </c>
      <c r="S10" s="34">
        <f>SUMIF(Přehled!$D$3:$D$1000,'Seznam účastníků'!$B10,Přehled!Z$3:Z$1000)</f>
        <v>8</v>
      </c>
      <c r="T10" s="34">
        <f>SUMIF(Přehled!$D$3:$D$1000,'Seznam účastníků'!$B10,Přehled!AA$3:AA$1000)</f>
        <v>5</v>
      </c>
      <c r="U10" s="34">
        <f>SUMIF(Přehled!$D$3:$D$1000,'Seznam účastníků'!$B10,Přehled!AB$3:AB$1000)</f>
        <v>2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16</v>
      </c>
      <c r="D11" s="50">
        <f>SUMIF(Přehled!$D$3:$D$1000,'Seznam účastníků'!$B11,Přehled!K$3:K$1000)</f>
        <v>6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0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2</v>
      </c>
      <c r="J11" s="35">
        <f>SUMIF(Přehled!$D$3:$D$1000,'Seznam účastníků'!$B11,Přehled!Q$3:Q$1000)</f>
        <v>2</v>
      </c>
      <c r="K11" s="37">
        <f>SUMIF(Přehled!$D$3:$D$1000,'Seznam účastníků'!$B11,Přehled!R$3:R$1000)</f>
        <v>0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2</v>
      </c>
      <c r="S11" s="34">
        <f>SUMIF(Přehled!$D$3:$D$1000,'Seznam účastníků'!$B11,Přehled!Z$3:Z$1000)</f>
        <v>7</v>
      </c>
      <c r="T11" s="34">
        <f>SUMIF(Přehled!$D$3:$D$1000,'Seznam účastníků'!$B11,Přehled!AA$3:AA$1000)</f>
        <v>5</v>
      </c>
      <c r="U11" s="34">
        <f>SUMIF(Přehled!$D$3:$D$1000,'Seznam účastníků'!$B11,Přehled!AB$3:AB$1000)</f>
        <v>2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12</v>
      </c>
      <c r="D12" s="50">
        <f>SUMIF(Přehled!$D$3:$D$1000,'Seznam účastníků'!$B12,Přehled!K$3:K$1000)</f>
        <v>5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0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2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0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6</v>
      </c>
      <c r="T12" s="34">
        <f>SUMIF(Přehled!$D$3:$D$1000,'Seznam účastníků'!$B12,Přehled!AA$3:AA$1000)</f>
        <v>4</v>
      </c>
      <c r="U12" s="34">
        <f>SUMIF(Přehled!$D$3:$D$1000,'Seznam účastníků'!$B12,Přehled!AB$3:AB$1000)</f>
        <v>2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16</v>
      </c>
      <c r="D13" s="50">
        <f>SUMIF(Přehled!$D$3:$D$1000,'Seznam účastníků'!$B13,Přehled!K$3:K$1000)</f>
        <v>5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0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3</v>
      </c>
      <c r="J13" s="35">
        <f>SUMIF(Přehled!$D$3:$D$1000,'Seznam účastníků'!$B13,Přehled!Q$3:Q$1000)</f>
        <v>2</v>
      </c>
      <c r="K13" s="37">
        <f>SUMIF(Přehled!$D$3:$D$1000,'Seznam účastníků'!$B13,Přehled!R$3:R$1000)</f>
        <v>0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2</v>
      </c>
      <c r="S13" s="34">
        <f>SUMIF(Přehled!$D$3:$D$1000,'Seznam účastníků'!$B13,Přehled!Z$3:Z$1000)</f>
        <v>7</v>
      </c>
      <c r="T13" s="34">
        <f>SUMIF(Přehled!$D$3:$D$1000,'Seznam účastníků'!$B13,Přehled!AA$3:AA$1000)</f>
        <v>5</v>
      </c>
      <c r="U13" s="34">
        <f>SUMIF(Přehled!$D$3:$D$1000,'Seznam účastníků'!$B13,Přehled!AB$3:AB$1000)</f>
        <v>2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17</v>
      </c>
      <c r="D14" s="50">
        <f>SUMIF(Přehled!$D$3:$D$1000,'Seznam účastníků'!$B14,Přehled!K$3:K$1000)</f>
        <v>6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0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3</v>
      </c>
      <c r="J14" s="35">
        <f>SUMIF(Přehled!$D$3:$D$1000,'Seznam účastníků'!$B14,Přehled!Q$3:Q$1000)</f>
        <v>2</v>
      </c>
      <c r="K14" s="37">
        <f>SUMIF(Přehled!$D$3:$D$1000,'Seznam účastníků'!$B14,Přehled!R$3:R$1000)</f>
        <v>0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2</v>
      </c>
      <c r="S14" s="34">
        <f>SUMIF(Přehled!$D$3:$D$1000,'Seznam účastníků'!$B14,Přehled!Z$3:Z$1000)</f>
        <v>8</v>
      </c>
      <c r="T14" s="34">
        <f>SUMIF(Přehled!$D$3:$D$1000,'Seznam účastníků'!$B14,Přehled!AA$3:AA$1000)</f>
        <v>5</v>
      </c>
      <c r="U14" s="34">
        <f>SUMIF(Přehled!$D$3:$D$1000,'Seznam účastníků'!$B14,Přehled!AB$3:AB$1000)</f>
        <v>2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12</v>
      </c>
      <c r="D15" s="50">
        <f>SUMIF(Přehled!$D$3:$D$1000,'Seznam účastníků'!$B15,Přehled!K$3:K$1000)</f>
        <v>3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0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2</v>
      </c>
      <c r="J15" s="35">
        <f>SUMIF(Přehled!$D$3:$D$1000,'Seznam účastníků'!$B15,Přehled!Q$3:Q$1000)</f>
        <v>2</v>
      </c>
      <c r="K15" s="37">
        <f>SUMIF(Přehled!$D$3:$D$1000,'Seznam účastníků'!$B15,Přehled!R$3:R$1000)</f>
        <v>0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2</v>
      </c>
      <c r="S15" s="34">
        <f>SUMIF(Přehled!$D$3:$D$1000,'Seznam účastníků'!$B15,Přehled!Z$3:Z$1000)</f>
        <v>6</v>
      </c>
      <c r="T15" s="34">
        <f>SUMIF(Přehled!$D$3:$D$1000,'Seznam účastníků'!$B15,Přehled!AA$3:AA$1000)</f>
        <v>3</v>
      </c>
      <c r="U15" s="34">
        <f>SUMIF(Přehled!$D$3:$D$1000,'Seznam účastníků'!$B15,Přehled!AB$3:AB$1000)</f>
        <v>1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13</v>
      </c>
      <c r="D16" s="50">
        <f>SUMIF(Přehled!$D$3:$D$1000,'Seznam účastníků'!$B16,Přehled!K$3:K$1000)</f>
        <v>3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0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3</v>
      </c>
      <c r="J16" s="35">
        <f>SUMIF(Přehled!$D$3:$D$1000,'Seznam účastníků'!$B16,Přehled!Q$3:Q$1000)</f>
        <v>2</v>
      </c>
      <c r="K16" s="37">
        <f>SUMIF(Přehled!$D$3:$D$1000,'Seznam účastníků'!$B16,Přehled!R$3:R$1000)</f>
        <v>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2</v>
      </c>
      <c r="S16" s="34">
        <f>SUMIF(Přehled!$D$3:$D$1000,'Seznam účastníků'!$B16,Přehled!Z$3:Z$1000)</f>
        <v>6</v>
      </c>
      <c r="T16" s="34">
        <f>SUMIF(Přehled!$D$3:$D$1000,'Seznam účastníků'!$B16,Přehled!AA$3:AA$1000)</f>
        <v>4</v>
      </c>
      <c r="U16" s="34">
        <f>SUMIF(Přehled!$D$3:$D$1000,'Seznam účastníků'!$B16,Přehled!AB$3:AB$1000)</f>
        <v>1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14</v>
      </c>
      <c r="D17" s="50">
        <f>SUMIF(Přehled!$D$3:$D$1000,'Seznam účastníků'!$B17,Přehled!K$3:K$1000)</f>
        <v>4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0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1</v>
      </c>
      <c r="J17" s="35">
        <f>SUMIF(Přehled!$D$3:$D$1000,'Seznam účastníků'!$B17,Přehled!Q$3:Q$1000)</f>
        <v>2</v>
      </c>
      <c r="K17" s="37">
        <f>SUMIF(Přehled!$D$3:$D$1000,'Seznam účastníků'!$B17,Přehled!R$3:R$1000)</f>
        <v>0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2</v>
      </c>
      <c r="S17" s="34">
        <f>SUMIF(Přehled!$D$3:$D$1000,'Seznam účastníků'!$B17,Přehled!Z$3:Z$1000)</f>
        <v>6</v>
      </c>
      <c r="T17" s="34">
        <f>SUMIF(Přehled!$D$3:$D$1000,'Seznam účastníků'!$B17,Přehled!AA$3:AA$1000)</f>
        <v>4</v>
      </c>
      <c r="U17" s="34">
        <f>SUMIF(Přehled!$D$3:$D$1000,'Seznam účastníků'!$B17,Přehled!AB$3:AB$1000)</f>
        <v>2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16</v>
      </c>
      <c r="D18" s="50">
        <f>SUMIF(Přehled!$D$3:$D$1000,'Seznam účastníků'!$B18,Přehled!K$3:K$1000)</f>
        <v>6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0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3</v>
      </c>
      <c r="J18" s="35">
        <f>SUMIF(Přehled!$D$3:$D$1000,'Seznam účastníků'!$B18,Přehled!Q$3:Q$1000)</f>
        <v>1</v>
      </c>
      <c r="K18" s="37">
        <f>SUMIF(Přehled!$D$3:$D$1000,'Seznam účastníků'!$B18,Přehled!R$3:R$1000)</f>
        <v>0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1</v>
      </c>
      <c r="S18" s="34">
        <f>SUMIF(Přehled!$D$3:$D$1000,'Seznam účastníků'!$B18,Přehled!Z$3:Z$1000)</f>
        <v>7</v>
      </c>
      <c r="T18" s="34">
        <f>SUMIF(Přehled!$D$3:$D$1000,'Seznam účastníků'!$B18,Přehled!AA$3:AA$1000)</f>
        <v>6</v>
      </c>
      <c r="U18" s="34">
        <f>SUMIF(Přehled!$D$3:$D$1000,'Seznam účastníků'!$B18,Přehled!AB$3:AB$1000)</f>
        <v>2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17</v>
      </c>
      <c r="D19" s="50">
        <f>SUMIF(Přehled!$D$3:$D$1000,'Seznam účastníků'!$B19,Přehled!K$3:K$1000)</f>
        <v>6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0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3</v>
      </c>
      <c r="J19" s="35">
        <f>SUMIF(Přehled!$D$3:$D$1000,'Seznam účastníků'!$B19,Přehled!Q$3:Q$1000)</f>
        <v>2</v>
      </c>
      <c r="K19" s="37">
        <f>SUMIF(Přehled!$D$3:$D$1000,'Seznam účastníků'!$B19,Přehled!R$3:R$1000)</f>
        <v>0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2</v>
      </c>
      <c r="S19" s="34">
        <f>SUMIF(Přehled!$D$3:$D$1000,'Seznam účastníků'!$B19,Přehled!Z$3:Z$1000)</f>
        <v>7</v>
      </c>
      <c r="T19" s="34">
        <f>SUMIF(Přehled!$D$3:$D$1000,'Seznam účastníků'!$B19,Přehled!AA$3:AA$1000)</f>
        <v>6</v>
      </c>
      <c r="U19" s="34">
        <f>SUMIF(Přehled!$D$3:$D$1000,'Seznam účastníků'!$B19,Přehled!AB$3:AB$1000)</f>
        <v>2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17</v>
      </c>
      <c r="D20" s="50">
        <f>SUMIF(Přehled!$D$3:$D$1000,'Seznam účastníků'!$B20,Přehled!K$3:K$1000)</f>
        <v>6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0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3</v>
      </c>
      <c r="J20" s="35">
        <f>SUMIF(Přehled!$D$3:$D$1000,'Seznam účastníků'!$B20,Přehled!Q$3:Q$1000)</f>
        <v>2</v>
      </c>
      <c r="K20" s="37">
        <f>SUMIF(Přehled!$D$3:$D$1000,'Seznam účastníků'!$B20,Přehled!R$3:R$1000)</f>
        <v>0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2</v>
      </c>
      <c r="S20" s="34">
        <f>SUMIF(Přehled!$D$3:$D$1000,'Seznam účastníků'!$B20,Přehled!Z$3:Z$1000)</f>
        <v>8</v>
      </c>
      <c r="T20" s="34">
        <f>SUMIF(Přehled!$D$3:$D$1000,'Seznam účastníků'!$B20,Přehled!AA$3:AA$1000)</f>
        <v>5</v>
      </c>
      <c r="U20" s="34">
        <f>SUMIF(Přehled!$D$3:$D$1000,'Seznam účastníků'!$B20,Přehled!AB$3:AB$1000)</f>
        <v>2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12</v>
      </c>
      <c r="D21" s="50">
        <f>SUMIF(Přehled!$D$3:$D$1000,'Seznam účastníků'!$B21,Přehled!K$3:K$1000)</f>
        <v>4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0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2</v>
      </c>
      <c r="J21" s="35">
        <f>SUMIF(Přehled!$D$3:$D$1000,'Seznam účastníků'!$B21,Přehled!Q$3:Q$1000)</f>
        <v>1</v>
      </c>
      <c r="K21" s="37">
        <f>SUMIF(Přehled!$D$3:$D$1000,'Seznam účastníků'!$B21,Přehled!R$3:R$1000)</f>
        <v>0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1</v>
      </c>
      <c r="S21" s="34">
        <f>SUMIF(Přehled!$D$3:$D$1000,'Seznam účastníků'!$B21,Přehled!Z$3:Z$1000)</f>
        <v>5</v>
      </c>
      <c r="T21" s="34">
        <f>SUMIF(Přehled!$D$3:$D$1000,'Seznam účastníků'!$B21,Přehled!AA$3:AA$1000)</f>
        <v>4</v>
      </c>
      <c r="U21" s="34">
        <f>SUMIF(Přehled!$D$3:$D$1000,'Seznam účastníků'!$B21,Přehled!AB$3:AB$1000)</f>
        <v>2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17</v>
      </c>
      <c r="D22" s="50">
        <f>SUMIF(Přehled!$D$3:$D$1000,'Seznam účastníků'!$B22,Přehled!K$3:K$1000)</f>
        <v>6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0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2</v>
      </c>
      <c r="J22" s="35">
        <f>SUMIF(Přehled!$D$3:$D$1000,'Seznam účastníků'!$B22,Přehled!Q$3:Q$1000)</f>
        <v>2</v>
      </c>
      <c r="K22" s="37">
        <f>SUMIF(Přehled!$D$3:$D$1000,'Seznam účastníků'!$B22,Přehled!R$3:R$1000)</f>
        <v>0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2</v>
      </c>
      <c r="S22" s="34">
        <f>SUMIF(Přehled!$D$3:$D$1000,'Seznam účastníků'!$B22,Přehled!Z$3:Z$1000)</f>
        <v>8</v>
      </c>
      <c r="T22" s="34">
        <f>SUMIF(Přehled!$D$3:$D$1000,'Seznam účastníků'!$B22,Přehled!AA$3:AA$1000)</f>
        <v>5</v>
      </c>
      <c r="U22" s="34">
        <f>SUMIF(Přehled!$D$3:$D$1000,'Seznam účastníků'!$B22,Přehled!AB$3:AB$1000)</f>
        <v>2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12</v>
      </c>
      <c r="D23" s="50">
        <f>SUMIF(Přehled!$D$3:$D$1000,'Seznam účastníků'!$B23,Přehled!K$3:K$1000)</f>
        <v>5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0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2</v>
      </c>
      <c r="J23" s="35">
        <f>SUMIF(Přehled!$D$3:$D$1000,'Seznam účastníků'!$B23,Přehled!Q$3:Q$1000)</f>
        <v>1</v>
      </c>
      <c r="K23" s="37">
        <f>SUMIF(Přehled!$D$3:$D$1000,'Seznam účastníků'!$B23,Přehled!R$3:R$1000)</f>
        <v>0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1</v>
      </c>
      <c r="S23" s="34">
        <f>SUMIF(Přehled!$D$3:$D$1000,'Seznam účastníků'!$B23,Přehled!Z$3:Z$1000)</f>
        <v>5</v>
      </c>
      <c r="T23" s="34">
        <f>SUMIF(Přehled!$D$3:$D$1000,'Seznam účastníků'!$B23,Přehled!AA$3:AA$1000)</f>
        <v>4</v>
      </c>
      <c r="U23" s="34">
        <f>SUMIF(Přehled!$D$3:$D$1000,'Seznam účastníků'!$B23,Přehled!AB$3:AB$1000)</f>
        <v>2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/>
      <c r="C24" s="95">
        <f>SUMIF(Přehled!D$3:D$1000,'Seznam účastníků'!B24,Přehled!F$3:F$1000)</f>
        <v>0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0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0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/>
      <c r="C25" s="95">
        <f>SUMIF(Přehled!D$3:D$1000,'Seznam účastníků'!B25,Přehled!F$3:F$1000)</f>
        <v>0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0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0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/>
      <c r="C26" s="95">
        <f>SUMIF(Přehled!D$3:D$1000,'Seznam účastníků'!B26,Přehled!F$3:F$1000)</f>
        <v>0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0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0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/>
      <c r="C27" s="95">
        <f>SUMIF(Přehled!D$3:D$1000,'Seznam účastníků'!B27,Přehled!F$3:F$1000)</f>
        <v>0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0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0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/>
      <c r="C28" s="95">
        <f>SUMIF(Přehled!D$3:D$1000,'Seznam účastníků'!B28,Přehled!F$3:F$1000)</f>
        <v>0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0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0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101</v>
      </c>
      <c r="E204" s="16">
        <f t="shared" si="0"/>
        <v>0</v>
      </c>
      <c r="F204" s="16">
        <f t="shared" si="0"/>
        <v>0</v>
      </c>
      <c r="G204" s="16">
        <f t="shared" si="0"/>
        <v>0</v>
      </c>
      <c r="H204" s="16">
        <f t="shared" si="0"/>
        <v>0</v>
      </c>
      <c r="I204" s="16">
        <f t="shared" si="0"/>
        <v>49</v>
      </c>
      <c r="J204" s="16">
        <f t="shared" si="0"/>
        <v>34</v>
      </c>
      <c r="K204" s="16">
        <f t="shared" si="0"/>
        <v>0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34</v>
      </c>
      <c r="S204" s="16">
        <f t="shared" si="0"/>
        <v>135</v>
      </c>
      <c r="T204" s="16">
        <f t="shared" si="0"/>
        <v>98</v>
      </c>
      <c r="U204" s="16">
        <f t="shared" si="0"/>
        <v>37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20</v>
      </c>
      <c r="E205" s="40">
        <f t="shared" ref="E205:AA205" si="2">COUNTIF(E4:E203,"&gt;0")</f>
        <v>0</v>
      </c>
      <c r="F205" s="40">
        <f t="shared" si="2"/>
        <v>0</v>
      </c>
      <c r="G205" s="40">
        <f t="shared" si="2"/>
        <v>0</v>
      </c>
      <c r="H205" s="40">
        <f t="shared" si="2"/>
        <v>0</v>
      </c>
      <c r="I205" s="40">
        <f t="shared" si="2"/>
        <v>20</v>
      </c>
      <c r="J205" s="40">
        <f t="shared" si="2"/>
        <v>19</v>
      </c>
      <c r="K205" s="40">
        <f t="shared" si="2"/>
        <v>0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19</v>
      </c>
      <c r="S205" s="40">
        <f t="shared" si="2"/>
        <v>20</v>
      </c>
      <c r="T205" s="40">
        <f t="shared" si="2"/>
        <v>20</v>
      </c>
      <c r="U205" s="40">
        <f t="shared" si="2"/>
        <v>20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102</v>
      </c>
      <c r="D3" s="99" t="s">
        <v>103</v>
      </c>
      <c r="E3" s="20">
        <v>1</v>
      </c>
      <c r="F3" s="26" t="s">
        <v>1</v>
      </c>
      <c r="G3" s="6" t="s">
        <v>1</v>
      </c>
      <c r="H3" s="63" t="s">
        <v>104</v>
      </c>
    </row>
    <row r="4" spans="1:8" ht="15" customHeight="1" x14ac:dyDescent="0.25">
      <c r="B4" s="78">
        <v>2</v>
      </c>
      <c r="C4" s="10" t="s">
        <v>105</v>
      </c>
      <c r="D4" s="99" t="s">
        <v>106</v>
      </c>
      <c r="E4" s="20">
        <v>1</v>
      </c>
      <c r="F4" s="26" t="s">
        <v>1</v>
      </c>
      <c r="G4" s="6" t="s">
        <v>22</v>
      </c>
      <c r="H4" s="64" t="s">
        <v>107</v>
      </c>
    </row>
    <row r="5" spans="1:8" ht="15" customHeight="1" x14ac:dyDescent="0.25">
      <c r="B5" s="78">
        <v>3</v>
      </c>
      <c r="C5" s="10" t="s">
        <v>108</v>
      </c>
      <c r="D5" s="99" t="s">
        <v>103</v>
      </c>
      <c r="E5" s="20">
        <v>1</v>
      </c>
      <c r="F5" s="26" t="s">
        <v>1</v>
      </c>
      <c r="G5" s="6" t="s">
        <v>22</v>
      </c>
      <c r="H5" s="64" t="s">
        <v>107</v>
      </c>
    </row>
    <row r="6" spans="1:8" ht="15" customHeight="1" x14ac:dyDescent="0.25">
      <c r="B6" s="78">
        <v>4</v>
      </c>
      <c r="C6" s="10" t="s">
        <v>109</v>
      </c>
      <c r="D6" s="99" t="s">
        <v>106</v>
      </c>
      <c r="E6" s="20">
        <v>1</v>
      </c>
      <c r="F6" s="26" t="s">
        <v>53</v>
      </c>
      <c r="G6" s="6" t="s">
        <v>1</v>
      </c>
      <c r="H6" s="64" t="s">
        <v>107</v>
      </c>
    </row>
    <row r="7" spans="1:8" ht="15" customHeight="1" x14ac:dyDescent="0.25">
      <c r="B7" s="78">
        <v>5</v>
      </c>
      <c r="C7" s="10" t="s">
        <v>110</v>
      </c>
      <c r="D7" s="99" t="s">
        <v>103</v>
      </c>
      <c r="E7" s="20">
        <v>1</v>
      </c>
      <c r="F7" s="26" t="s">
        <v>53</v>
      </c>
      <c r="G7" s="6" t="s">
        <v>1</v>
      </c>
      <c r="H7" s="64" t="s">
        <v>107</v>
      </c>
    </row>
    <row r="8" spans="1:8" ht="15" customHeight="1" x14ac:dyDescent="0.25">
      <c r="B8" s="78">
        <v>6</v>
      </c>
      <c r="C8" s="10" t="s">
        <v>111</v>
      </c>
      <c r="D8" s="99" t="s">
        <v>106</v>
      </c>
      <c r="E8" s="20">
        <v>1</v>
      </c>
      <c r="F8" s="26" t="s">
        <v>53</v>
      </c>
      <c r="G8" s="6" t="s">
        <v>1</v>
      </c>
      <c r="H8" s="64" t="s">
        <v>107</v>
      </c>
    </row>
    <row r="9" spans="1:8" ht="15" customHeight="1" x14ac:dyDescent="0.25">
      <c r="B9" s="78">
        <v>7</v>
      </c>
      <c r="C9" s="10" t="s">
        <v>112</v>
      </c>
      <c r="D9" s="99" t="s">
        <v>103</v>
      </c>
      <c r="E9" s="20">
        <v>1</v>
      </c>
      <c r="F9" s="26" t="s">
        <v>53</v>
      </c>
      <c r="G9" s="6" t="s">
        <v>22</v>
      </c>
      <c r="H9" s="64" t="s">
        <v>107</v>
      </c>
    </row>
    <row r="10" spans="1:8" ht="15" customHeight="1" x14ac:dyDescent="0.25">
      <c r="B10" s="78">
        <v>8</v>
      </c>
      <c r="C10" s="10" t="s">
        <v>113</v>
      </c>
      <c r="D10" s="99" t="s">
        <v>106</v>
      </c>
      <c r="E10" s="20">
        <v>1</v>
      </c>
      <c r="F10" s="26" t="s">
        <v>53</v>
      </c>
      <c r="G10" s="6" t="s">
        <v>23</v>
      </c>
      <c r="H10" s="64" t="s">
        <v>107</v>
      </c>
    </row>
    <row r="11" spans="1:8" ht="15" customHeight="1" x14ac:dyDescent="0.25">
      <c r="B11" s="78">
        <v>9</v>
      </c>
      <c r="C11" s="10" t="s">
        <v>114</v>
      </c>
      <c r="D11" s="99" t="s">
        <v>103</v>
      </c>
      <c r="E11" s="20">
        <v>1</v>
      </c>
      <c r="F11" s="26" t="s">
        <v>53</v>
      </c>
      <c r="G11" s="6" t="s">
        <v>23</v>
      </c>
      <c r="H11" s="64" t="s">
        <v>107</v>
      </c>
    </row>
    <row r="12" spans="1:8" ht="15" customHeight="1" x14ac:dyDescent="0.25">
      <c r="B12" s="78">
        <v>10</v>
      </c>
      <c r="C12" s="10" t="s">
        <v>115</v>
      </c>
      <c r="D12" s="99" t="s">
        <v>106</v>
      </c>
      <c r="E12" s="20">
        <v>1</v>
      </c>
      <c r="F12" s="26" t="s">
        <v>2</v>
      </c>
      <c r="G12" s="6" t="s">
        <v>22</v>
      </c>
      <c r="H12" s="64" t="s">
        <v>107</v>
      </c>
    </row>
    <row r="13" spans="1:8" ht="15" customHeight="1" x14ac:dyDescent="0.25">
      <c r="B13" s="78">
        <v>11</v>
      </c>
      <c r="C13" s="10" t="s">
        <v>116</v>
      </c>
      <c r="D13" s="99" t="s">
        <v>103</v>
      </c>
      <c r="E13" s="20">
        <v>1</v>
      </c>
      <c r="F13" s="26" t="s">
        <v>2</v>
      </c>
      <c r="G13" s="6" t="s">
        <v>22</v>
      </c>
      <c r="H13" s="64" t="s">
        <v>107</v>
      </c>
    </row>
    <row r="14" spans="1:8" ht="15" customHeight="1" x14ac:dyDescent="0.25">
      <c r="B14" s="78">
        <v>12</v>
      </c>
      <c r="C14" s="10" t="s">
        <v>117</v>
      </c>
      <c r="D14" s="99" t="s">
        <v>106</v>
      </c>
      <c r="E14" s="20">
        <v>1</v>
      </c>
      <c r="F14" s="26" t="s">
        <v>2</v>
      </c>
      <c r="G14" s="6" t="s">
        <v>22</v>
      </c>
      <c r="H14" s="64" t="s">
        <v>107</v>
      </c>
    </row>
    <row r="15" spans="1:8" ht="15" customHeight="1" x14ac:dyDescent="0.25">
      <c r="B15" s="78">
        <v>13</v>
      </c>
      <c r="C15" s="10" t="s">
        <v>118</v>
      </c>
      <c r="D15" s="99" t="s">
        <v>106</v>
      </c>
      <c r="E15" s="20">
        <v>1</v>
      </c>
      <c r="F15" s="26" t="s">
        <v>1</v>
      </c>
      <c r="G15" s="6" t="s">
        <v>1</v>
      </c>
      <c r="H15" s="64" t="s">
        <v>107</v>
      </c>
    </row>
    <row r="16" spans="1:8" ht="15" customHeight="1" x14ac:dyDescent="0.25">
      <c r="B16" s="78">
        <v>14</v>
      </c>
      <c r="C16" s="10" t="s">
        <v>119</v>
      </c>
      <c r="D16" s="99" t="s">
        <v>106</v>
      </c>
      <c r="E16" s="20">
        <v>1</v>
      </c>
      <c r="F16" s="26" t="s">
        <v>1</v>
      </c>
      <c r="G16" s="6" t="s">
        <v>1</v>
      </c>
      <c r="H16" s="64" t="s">
        <v>107</v>
      </c>
    </row>
    <row r="17" spans="2:8" ht="15" customHeight="1" x14ac:dyDescent="0.25">
      <c r="B17" s="78">
        <v>15</v>
      </c>
      <c r="C17" s="10" t="s">
        <v>120</v>
      </c>
      <c r="D17" s="99" t="s">
        <v>103</v>
      </c>
      <c r="E17" s="20">
        <v>1</v>
      </c>
      <c r="F17" s="26" t="s">
        <v>1</v>
      </c>
      <c r="G17" s="6" t="s">
        <v>1</v>
      </c>
      <c r="H17" s="64" t="s">
        <v>107</v>
      </c>
    </row>
    <row r="18" spans="2:8" ht="15" customHeight="1" x14ac:dyDescent="0.25">
      <c r="B18" s="78">
        <v>16</v>
      </c>
      <c r="C18" s="10" t="s">
        <v>121</v>
      </c>
      <c r="D18" s="99" t="s">
        <v>106</v>
      </c>
      <c r="E18" s="20">
        <v>1</v>
      </c>
      <c r="F18" s="26" t="s">
        <v>58</v>
      </c>
      <c r="G18" s="6" t="s">
        <v>65</v>
      </c>
      <c r="H18" s="64" t="s">
        <v>107</v>
      </c>
    </row>
    <row r="19" spans="2:8" ht="15" customHeight="1" x14ac:dyDescent="0.25">
      <c r="B19" s="78">
        <v>17</v>
      </c>
      <c r="C19" s="10" t="s">
        <v>122</v>
      </c>
      <c r="D19" s="99" t="s">
        <v>103</v>
      </c>
      <c r="E19" s="20">
        <v>1</v>
      </c>
      <c r="F19" s="26" t="s">
        <v>58</v>
      </c>
      <c r="G19" s="6" t="s">
        <v>65</v>
      </c>
      <c r="H19" s="64" t="s">
        <v>107</v>
      </c>
    </row>
    <row r="20" spans="2:8" ht="15" customHeight="1" x14ac:dyDescent="0.25">
      <c r="B20" s="78">
        <v>18</v>
      </c>
      <c r="C20" s="10" t="s">
        <v>123</v>
      </c>
      <c r="D20" s="99" t="s">
        <v>124</v>
      </c>
      <c r="E20" s="20">
        <v>1</v>
      </c>
      <c r="F20" s="26" t="s">
        <v>1</v>
      </c>
      <c r="G20" s="6" t="s">
        <v>1</v>
      </c>
      <c r="H20" s="64" t="s">
        <v>107</v>
      </c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1Antala Štěpán</v>
      </c>
      <c r="C3" s="66">
        <v>1</v>
      </c>
      <c r="D3" s="12" t="s">
        <v>82</v>
      </c>
      <c r="E3" s="87" t="str">
        <f>VLOOKUP($C3,'Seznam aktivit'!$B$3:$H$32,2)</f>
        <v>10.09.2025</v>
      </c>
      <c r="F3" s="88">
        <f>VLOOKUP($C3,'Seznam aktivit'!$B$3:$H$32,4)</f>
        <v>1</v>
      </c>
      <c r="G3" s="89" t="str">
        <f>VLOOKUP($C3,'Seznam aktivit'!$B$3:$H$32,5)</f>
        <v>Vzdělávání s využitím nových technologií</v>
      </c>
      <c r="H3" s="89" t="str">
        <f>VLOOKUP($C3,'Seznam aktivit'!$B$3:$H$32,6)</f>
        <v>Vzdělávání s využitím nových technologií</v>
      </c>
      <c r="I3" s="90" t="str">
        <f>VLOOKUP($C3,'Seznam aktivit'!$B$3:$H$32,7)</f>
        <v>PhDr. Mgr.  Miroslav Hanuš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0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0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1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1Benč Patrik</v>
      </c>
      <c r="C4" s="66">
        <v>1</v>
      </c>
      <c r="D4" s="12" t="s">
        <v>83</v>
      </c>
      <c r="E4" s="87" t="str">
        <f>VLOOKUP($C4,'Seznam aktivit'!$B$3:$H$32,2)</f>
        <v>10.09.2025</v>
      </c>
      <c r="F4" s="88">
        <f>VLOOKUP($C4,'Seznam aktivit'!$B$3:$H$32,4)</f>
        <v>1</v>
      </c>
      <c r="G4" s="89" t="str">
        <f>VLOOKUP($C4,'Seznam aktivit'!$B$3:$H$32,5)</f>
        <v>Vzdělávání s využitím nových technologií</v>
      </c>
      <c r="H4" s="89" t="str">
        <f>VLOOKUP($C4,'Seznam aktivit'!$B$3:$H$32,6)</f>
        <v>Vzdělávání s využitím nových technologií</v>
      </c>
      <c r="I4" s="90" t="str">
        <f>VLOOKUP($C4,'Seznam aktivit'!$B$3:$H$32,7)</f>
        <v>PhDr. Mgr.  Miroslav Hanuš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0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0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1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1Boruvka Matyáš</v>
      </c>
      <c r="C5" s="66">
        <v>1</v>
      </c>
      <c r="D5" s="12" t="s">
        <v>84</v>
      </c>
      <c r="E5" s="87" t="str">
        <f>VLOOKUP($C5,'Seznam aktivit'!$B$3:$H$32,2)</f>
        <v>10.09.2025</v>
      </c>
      <c r="F5" s="88">
        <f>VLOOKUP($C5,'Seznam aktivit'!$B$3:$H$32,4)</f>
        <v>1</v>
      </c>
      <c r="G5" s="89" t="str">
        <f>VLOOKUP($C5,'Seznam aktivit'!$B$3:$H$32,5)</f>
        <v>Vzdělávání s využitím nových technologií</v>
      </c>
      <c r="H5" s="89" t="str">
        <f>VLOOKUP($C5,'Seznam aktivit'!$B$3:$H$32,6)</f>
        <v>Vzdělávání s využitím nových technologií</v>
      </c>
      <c r="I5" s="90" t="str">
        <f>VLOOKUP($C5,'Seznam aktivit'!$B$3:$H$32,7)</f>
        <v>PhDr. Mgr.  Miroslav Hanuš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0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0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1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1Brenkusová Vanesa</v>
      </c>
      <c r="C6" s="66">
        <v>1</v>
      </c>
      <c r="D6" s="12" t="s">
        <v>85</v>
      </c>
      <c r="E6" s="87" t="str">
        <f>VLOOKUP($C6,'Seznam aktivit'!$B$3:$H$32,2)</f>
        <v>10.09.2025</v>
      </c>
      <c r="F6" s="88">
        <f>VLOOKUP($C6,'Seznam aktivit'!$B$3:$H$32,4)</f>
        <v>1</v>
      </c>
      <c r="G6" s="89" t="str">
        <f>VLOOKUP($C6,'Seznam aktivit'!$B$3:$H$32,5)</f>
        <v>Vzdělávání s využitím nových technologií</v>
      </c>
      <c r="H6" s="89" t="str">
        <f>VLOOKUP($C6,'Seznam aktivit'!$B$3:$H$32,6)</f>
        <v>Vzdělávání s využitím nových technologií</v>
      </c>
      <c r="I6" s="90" t="str">
        <f>VLOOKUP($C6,'Seznam aktivit'!$B$3:$H$32,7)</f>
        <v>PhDr. Mgr.  Miroslav Hanuš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0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0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1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Elen</v>
      </c>
      <c r="C7" s="66">
        <v>1</v>
      </c>
      <c r="D7" s="12" t="s">
        <v>86</v>
      </c>
      <c r="E7" s="87" t="str">
        <f>VLOOKUP($C7,'Seznam aktivit'!$B$3:$H$32,2)</f>
        <v>10.09.2025</v>
      </c>
      <c r="F7" s="88">
        <f>VLOOKUP($C7,'Seznam aktivit'!$B$3:$H$32,4)</f>
        <v>1</v>
      </c>
      <c r="G7" s="89" t="str">
        <f>VLOOKUP($C7,'Seznam aktivit'!$B$3:$H$32,5)</f>
        <v>Vzdělávání s využitím nových technologií</v>
      </c>
      <c r="H7" s="89" t="str">
        <f>VLOOKUP($C7,'Seznam aktivit'!$B$3:$H$32,6)</f>
        <v>Vzdělávání s využitím nových technologií</v>
      </c>
      <c r="I7" s="90" t="str">
        <f>VLOOKUP($C7,'Seznam aktivit'!$B$3:$H$32,7)</f>
        <v>PhDr. Mgr.  Miroslav Hanuš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0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0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1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1Hájková Valérie</v>
      </c>
      <c r="C8" s="66">
        <v>1</v>
      </c>
      <c r="D8" s="12" t="s">
        <v>87</v>
      </c>
      <c r="E8" s="87" t="str">
        <f>VLOOKUP($C8,'Seznam aktivit'!$B$3:$H$32,2)</f>
        <v>10.09.2025</v>
      </c>
      <c r="F8" s="88">
        <f>VLOOKUP($C8,'Seznam aktivit'!$B$3:$H$32,4)</f>
        <v>1</v>
      </c>
      <c r="G8" s="89" t="str">
        <f>VLOOKUP($C8,'Seznam aktivit'!$B$3:$H$32,5)</f>
        <v>Vzdělávání s využitím nových technologií</v>
      </c>
      <c r="H8" s="89" t="str">
        <f>VLOOKUP($C8,'Seznam aktivit'!$B$3:$H$32,6)</f>
        <v>Vzdělávání s využitím nových technologií</v>
      </c>
      <c r="I8" s="90" t="str">
        <f>VLOOKUP($C8,'Seznam aktivit'!$B$3:$H$32,7)</f>
        <v>PhDr. Mgr.  Miroslav Hanuš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0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0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1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1Chudý Dominik</v>
      </c>
      <c r="C9" s="66">
        <v>1</v>
      </c>
      <c r="D9" s="12" t="s">
        <v>88</v>
      </c>
      <c r="E9" s="87" t="str">
        <f>VLOOKUP($C9,'Seznam aktivit'!$B$3:$H$32,2)</f>
        <v>10.09.2025</v>
      </c>
      <c r="F9" s="88">
        <f>VLOOKUP($C9,'Seznam aktivit'!$B$3:$H$32,4)</f>
        <v>1</v>
      </c>
      <c r="G9" s="89" t="str">
        <f>VLOOKUP($C9,'Seznam aktivit'!$B$3:$H$32,5)</f>
        <v>Vzdělávání s využitím nových technologií</v>
      </c>
      <c r="H9" s="89" t="str">
        <f>VLOOKUP($C9,'Seznam aktivit'!$B$3:$H$32,6)</f>
        <v>Vzdělávání s využitím nových technologií</v>
      </c>
      <c r="I9" s="90" t="str">
        <f>VLOOKUP($C9,'Seznam aktivit'!$B$3:$H$32,7)</f>
        <v>PhDr. Mgr.  Miroslav Hanuš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0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0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1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1Ježková Vendula</v>
      </c>
      <c r="C10" s="66">
        <v>1</v>
      </c>
      <c r="D10" s="12" t="s">
        <v>89</v>
      </c>
      <c r="E10" s="87" t="str">
        <f>VLOOKUP($C10,'Seznam aktivit'!$B$3:$H$32,2)</f>
        <v>10.09.2025</v>
      </c>
      <c r="F10" s="88">
        <f>VLOOKUP($C10,'Seznam aktivit'!$B$3:$H$32,4)</f>
        <v>1</v>
      </c>
      <c r="G10" s="89" t="str">
        <f>VLOOKUP($C10,'Seznam aktivit'!$B$3:$H$32,5)</f>
        <v>Vzdělávání s využitím nových technologií</v>
      </c>
      <c r="H10" s="89" t="str">
        <f>VLOOKUP($C10,'Seznam aktivit'!$B$3:$H$32,6)</f>
        <v>Vzdělávání s využitím nových technologií</v>
      </c>
      <c r="I10" s="90" t="str">
        <f>VLOOKUP($C10,'Seznam aktivit'!$B$3:$H$32,7)</f>
        <v>PhDr. Mgr.  Miroslav Hanuš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0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0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1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1Krywdová Eliška</v>
      </c>
      <c r="C11" s="66">
        <v>1</v>
      </c>
      <c r="D11" s="12" t="s">
        <v>91</v>
      </c>
      <c r="E11" s="87" t="str">
        <f>VLOOKUP($C11,'Seznam aktivit'!$B$3:$H$32,2)</f>
        <v>10.09.2025</v>
      </c>
      <c r="F11" s="88">
        <f>VLOOKUP($C11,'Seznam aktivit'!$B$3:$H$32,4)</f>
        <v>1</v>
      </c>
      <c r="G11" s="89" t="str">
        <f>VLOOKUP($C11,'Seznam aktivit'!$B$3:$H$32,5)</f>
        <v>Vzdělávání s využitím nových technologií</v>
      </c>
      <c r="H11" s="89" t="str">
        <f>VLOOKUP($C11,'Seznam aktivit'!$B$3:$H$32,6)</f>
        <v>Vzdělávání s využitím nových technologií</v>
      </c>
      <c r="I11" s="90" t="str">
        <f>VLOOKUP($C11,'Seznam aktivit'!$B$3:$H$32,7)</f>
        <v>PhDr. Mgr.  Miroslav Hanuš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0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0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1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1Marko Radek</v>
      </c>
      <c r="C12" s="66">
        <v>1</v>
      </c>
      <c r="D12" s="12" t="s">
        <v>92</v>
      </c>
      <c r="E12" s="87" t="str">
        <f>VLOOKUP($C12,'Seznam aktivit'!$B$3:$H$32,2)</f>
        <v>10.09.2025</v>
      </c>
      <c r="F12" s="88">
        <f>VLOOKUP($C12,'Seznam aktivit'!$B$3:$H$32,4)</f>
        <v>1</v>
      </c>
      <c r="G12" s="89" t="str">
        <f>VLOOKUP($C12,'Seznam aktivit'!$B$3:$H$32,5)</f>
        <v>Vzdělávání s využitím nových technologií</v>
      </c>
      <c r="H12" s="89" t="str">
        <f>VLOOKUP($C12,'Seznam aktivit'!$B$3:$H$32,6)</f>
        <v>Vzdělávání s využitím nových technologií</v>
      </c>
      <c r="I12" s="90" t="str">
        <f>VLOOKUP($C12,'Seznam aktivit'!$B$3:$H$32,7)</f>
        <v>PhDr. Mgr.  Miroslav Hanuš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0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0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1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Václav</v>
      </c>
      <c r="C13" s="66">
        <v>1</v>
      </c>
      <c r="D13" s="12" t="s">
        <v>93</v>
      </c>
      <c r="E13" s="87" t="str">
        <f>VLOOKUP($C13,'Seznam aktivit'!$B$3:$H$32,2)</f>
        <v>10.09.2025</v>
      </c>
      <c r="F13" s="88">
        <f>VLOOKUP($C13,'Seznam aktivit'!$B$3:$H$32,4)</f>
        <v>1</v>
      </c>
      <c r="G13" s="89" t="str">
        <f>VLOOKUP($C13,'Seznam aktivit'!$B$3:$H$32,5)</f>
        <v>Vzdělávání s využitím nových technologií</v>
      </c>
      <c r="H13" s="89" t="str">
        <f>VLOOKUP($C13,'Seznam aktivit'!$B$3:$H$32,6)</f>
        <v>Vzdělávání s využitím nových technologií</v>
      </c>
      <c r="I13" s="90" t="str">
        <f>VLOOKUP($C13,'Seznam aktivit'!$B$3:$H$32,7)</f>
        <v>PhDr. Mgr.  Miroslav Hanuš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0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0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1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1Patrman Ondřej</v>
      </c>
      <c r="C14" s="66">
        <v>1</v>
      </c>
      <c r="D14" s="12" t="s">
        <v>94</v>
      </c>
      <c r="E14" s="87" t="str">
        <f>VLOOKUP($C14,'Seznam aktivit'!$B$3:$H$32,2)</f>
        <v>10.09.2025</v>
      </c>
      <c r="F14" s="88">
        <f>VLOOKUP($C14,'Seznam aktivit'!$B$3:$H$32,4)</f>
        <v>1</v>
      </c>
      <c r="G14" s="89" t="str">
        <f>VLOOKUP($C14,'Seznam aktivit'!$B$3:$H$32,5)</f>
        <v>Vzdělávání s využitím nových technologií</v>
      </c>
      <c r="H14" s="89" t="str">
        <f>VLOOKUP($C14,'Seznam aktivit'!$B$3:$H$32,6)</f>
        <v>Vzdělávání s využitím nových technologií</v>
      </c>
      <c r="I14" s="90" t="str">
        <f>VLOOKUP($C14,'Seznam aktivit'!$B$3:$H$32,7)</f>
        <v>PhDr. Mgr.  Miroslav Hanuš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0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0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1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1Polák Filip</v>
      </c>
      <c r="C15" s="66">
        <v>1</v>
      </c>
      <c r="D15" s="12" t="s">
        <v>95</v>
      </c>
      <c r="E15" s="87" t="str">
        <f>VLOOKUP($C15,'Seznam aktivit'!$B$3:$H$32,2)</f>
        <v>10.09.2025</v>
      </c>
      <c r="F15" s="88">
        <f>VLOOKUP($C15,'Seznam aktivit'!$B$3:$H$32,4)</f>
        <v>1</v>
      </c>
      <c r="G15" s="89" t="str">
        <f>VLOOKUP($C15,'Seznam aktivit'!$B$3:$H$32,5)</f>
        <v>Vzdělávání s využitím nových technologií</v>
      </c>
      <c r="H15" s="89" t="str">
        <f>VLOOKUP($C15,'Seznam aktivit'!$B$3:$H$32,6)</f>
        <v>Vzdělávání s využitím nových technologií</v>
      </c>
      <c r="I15" s="90" t="str">
        <f>VLOOKUP($C15,'Seznam aktivit'!$B$3:$H$32,7)</f>
        <v>PhDr. Mgr.  Miroslav Hanuš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0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0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1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1Poliaková Julie</v>
      </c>
      <c r="C16" s="66">
        <v>1</v>
      </c>
      <c r="D16" s="12" t="s">
        <v>96</v>
      </c>
      <c r="E16" s="87" t="str">
        <f>VLOOKUP($C16,'Seznam aktivit'!$B$3:$H$32,2)</f>
        <v>10.09.2025</v>
      </c>
      <c r="F16" s="88">
        <f>VLOOKUP($C16,'Seznam aktivit'!$B$3:$H$32,4)</f>
        <v>1</v>
      </c>
      <c r="G16" s="89" t="str">
        <f>VLOOKUP($C16,'Seznam aktivit'!$B$3:$H$32,5)</f>
        <v>Vzdělávání s využitím nových technologií</v>
      </c>
      <c r="H16" s="89" t="str">
        <f>VLOOKUP($C16,'Seznam aktivit'!$B$3:$H$32,6)</f>
        <v>Vzdělávání s využitím nových technologií</v>
      </c>
      <c r="I16" s="90" t="str">
        <f>VLOOKUP($C16,'Seznam aktivit'!$B$3:$H$32,7)</f>
        <v>PhDr. Mgr.  Miroslav Hanuš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0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0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1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1Semančíková Anežka</v>
      </c>
      <c r="C17" s="66">
        <v>1</v>
      </c>
      <c r="D17" s="12" t="s">
        <v>98</v>
      </c>
      <c r="E17" s="87" t="str">
        <f>VLOOKUP($C17,'Seznam aktivit'!$B$3:$H$32,2)</f>
        <v>10.09.2025</v>
      </c>
      <c r="F17" s="88">
        <f>VLOOKUP($C17,'Seznam aktivit'!$B$3:$H$32,4)</f>
        <v>1</v>
      </c>
      <c r="G17" s="89" t="str">
        <f>VLOOKUP($C17,'Seznam aktivit'!$B$3:$H$32,5)</f>
        <v>Vzdělávání s využitím nových technologií</v>
      </c>
      <c r="H17" s="89" t="str">
        <f>VLOOKUP($C17,'Seznam aktivit'!$B$3:$H$32,6)</f>
        <v>Vzdělávání s využitím nových technologií</v>
      </c>
      <c r="I17" s="90" t="str">
        <f>VLOOKUP($C17,'Seznam aktivit'!$B$3:$H$32,7)</f>
        <v>PhDr. Mgr.  Miroslav Hanuš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0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0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1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1Soška Filip</v>
      </c>
      <c r="C18" s="66">
        <v>1</v>
      </c>
      <c r="D18" s="12" t="s">
        <v>99</v>
      </c>
      <c r="E18" s="87" t="str">
        <f>VLOOKUP($C18,'Seznam aktivit'!$B$3:$H$32,2)</f>
        <v>10.09.2025</v>
      </c>
      <c r="F18" s="88">
        <f>VLOOKUP($C18,'Seznam aktivit'!$B$3:$H$32,4)</f>
        <v>1</v>
      </c>
      <c r="G18" s="89" t="str">
        <f>VLOOKUP($C18,'Seznam aktivit'!$B$3:$H$32,5)</f>
        <v>Vzdělávání s využitím nových technologií</v>
      </c>
      <c r="H18" s="89" t="str">
        <f>VLOOKUP($C18,'Seznam aktivit'!$B$3:$H$32,6)</f>
        <v>Vzdělávání s využitím nových technologií</v>
      </c>
      <c r="I18" s="90" t="str">
        <f>VLOOKUP($C18,'Seznam aktivit'!$B$3:$H$32,7)</f>
        <v>PhDr. Mgr.  Miroslav Hanuš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0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0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1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1Trávníčková Anastázie</v>
      </c>
      <c r="C19" s="66">
        <v>1</v>
      </c>
      <c r="D19" s="12" t="s">
        <v>100</v>
      </c>
      <c r="E19" s="87" t="str">
        <f>VLOOKUP($C19,'Seznam aktivit'!$B$3:$H$32,2)</f>
        <v>10.09.2025</v>
      </c>
      <c r="F19" s="88">
        <f>VLOOKUP($C19,'Seznam aktivit'!$B$3:$H$32,4)</f>
        <v>1</v>
      </c>
      <c r="G19" s="89" t="str">
        <f>VLOOKUP($C19,'Seznam aktivit'!$B$3:$H$32,5)</f>
        <v>Vzdělávání s využitím nových technologií</v>
      </c>
      <c r="H19" s="89" t="str">
        <f>VLOOKUP($C19,'Seznam aktivit'!$B$3:$H$32,6)</f>
        <v>Vzdělávání s využitím nových technologií</v>
      </c>
      <c r="I19" s="90" t="str">
        <f>VLOOKUP($C19,'Seznam aktivit'!$B$3:$H$32,7)</f>
        <v>PhDr. Mgr.  Miroslav Hanuš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0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0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1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2Antala Štěpán</v>
      </c>
      <c r="C20" s="66">
        <v>2</v>
      </c>
      <c r="D20" s="12" t="s">
        <v>82</v>
      </c>
      <c r="E20" s="87" t="str">
        <f>VLOOKUP($C20,'Seznam aktivit'!$B$3:$H$32,2)</f>
        <v>12.09.2025</v>
      </c>
      <c r="F20" s="88">
        <f>VLOOKUP($C20,'Seznam aktivit'!$B$3:$H$32,4)</f>
        <v>1</v>
      </c>
      <c r="G20" s="89" t="str">
        <f>VLOOKUP($C20,'Seznam aktivit'!$B$3:$H$32,5)</f>
        <v>Vzdělávání s využitím nových technologií</v>
      </c>
      <c r="H20" s="89" t="str">
        <f>VLOOKUP($C20,'Seznam aktivit'!$B$3:$H$32,6)</f>
        <v>Kulturní povědomí a vyjádření</v>
      </c>
      <c r="I20" s="90" t="str">
        <f>VLOOKUP($C20,'Seznam aktivit'!$B$3:$H$32,7)</f>
        <v>M. Hanuš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0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0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1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2Benč Patrik</v>
      </c>
      <c r="C21" s="66">
        <v>2</v>
      </c>
      <c r="D21" s="12" t="s">
        <v>83</v>
      </c>
      <c r="E21" s="87" t="str">
        <f>VLOOKUP($C21,'Seznam aktivit'!$B$3:$H$32,2)</f>
        <v>12.09.2025</v>
      </c>
      <c r="F21" s="88">
        <f>VLOOKUP($C21,'Seznam aktivit'!$B$3:$H$32,4)</f>
        <v>1</v>
      </c>
      <c r="G21" s="89" t="str">
        <f>VLOOKUP($C21,'Seznam aktivit'!$B$3:$H$32,5)</f>
        <v>Vzdělávání s využitím nových technologií</v>
      </c>
      <c r="H21" s="89" t="str">
        <f>VLOOKUP($C21,'Seznam aktivit'!$B$3:$H$32,6)</f>
        <v>Kulturní povědomí a vyjádření</v>
      </c>
      <c r="I21" s="90" t="str">
        <f>VLOOKUP($C21,'Seznam aktivit'!$B$3:$H$32,7)</f>
        <v>M. Hanuš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0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0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1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2Boruvka Matyáš</v>
      </c>
      <c r="C22" s="66">
        <v>2</v>
      </c>
      <c r="D22" s="12" t="s">
        <v>84</v>
      </c>
      <c r="E22" s="87" t="str">
        <f>VLOOKUP($C22,'Seznam aktivit'!$B$3:$H$32,2)</f>
        <v>12.09.2025</v>
      </c>
      <c r="F22" s="88">
        <f>VLOOKUP($C22,'Seznam aktivit'!$B$3:$H$32,4)</f>
        <v>1</v>
      </c>
      <c r="G22" s="89" t="str">
        <f>VLOOKUP($C22,'Seznam aktivit'!$B$3:$H$32,5)</f>
        <v>Vzdělávání s využitím nových technologií</v>
      </c>
      <c r="H22" s="89" t="str">
        <f>VLOOKUP($C22,'Seznam aktivit'!$B$3:$H$32,6)</f>
        <v>Kulturní povědomí a vyjádření</v>
      </c>
      <c r="I22" s="90" t="str">
        <f>VLOOKUP($C22,'Seznam aktivit'!$B$3:$H$32,7)</f>
        <v>M. Hanuš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0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0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1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2Brenkusová Vanesa</v>
      </c>
      <c r="C23" s="66">
        <v>2</v>
      </c>
      <c r="D23" s="12" t="s">
        <v>85</v>
      </c>
      <c r="E23" s="87" t="str">
        <f>VLOOKUP($C23,'Seznam aktivit'!$B$3:$H$32,2)</f>
        <v>12.09.2025</v>
      </c>
      <c r="F23" s="88">
        <f>VLOOKUP($C23,'Seznam aktivit'!$B$3:$H$32,4)</f>
        <v>1</v>
      </c>
      <c r="G23" s="89" t="str">
        <f>VLOOKUP($C23,'Seznam aktivit'!$B$3:$H$32,5)</f>
        <v>Vzdělávání s využitím nových technologií</v>
      </c>
      <c r="H23" s="89" t="str">
        <f>VLOOKUP($C23,'Seznam aktivit'!$B$3:$H$32,6)</f>
        <v>Kulturní povědomí a vyjádření</v>
      </c>
      <c r="I23" s="90" t="str">
        <f>VLOOKUP($C23,'Seznam aktivit'!$B$3:$H$32,7)</f>
        <v>M. Hanuš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0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0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1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2Brixelová Elen</v>
      </c>
      <c r="C24" s="66">
        <v>2</v>
      </c>
      <c r="D24" s="12" t="s">
        <v>86</v>
      </c>
      <c r="E24" s="87" t="str">
        <f>VLOOKUP($C24,'Seznam aktivit'!$B$3:$H$32,2)</f>
        <v>12.09.2025</v>
      </c>
      <c r="F24" s="88">
        <f>VLOOKUP($C24,'Seznam aktivit'!$B$3:$H$32,4)</f>
        <v>1</v>
      </c>
      <c r="G24" s="89" t="str">
        <f>VLOOKUP($C24,'Seznam aktivit'!$B$3:$H$32,5)</f>
        <v>Vzdělávání s využitím nových technologií</v>
      </c>
      <c r="H24" s="89" t="str">
        <f>VLOOKUP($C24,'Seznam aktivit'!$B$3:$H$32,6)</f>
        <v>Kulturní povědomí a vyjádření</v>
      </c>
      <c r="I24" s="90" t="str">
        <f>VLOOKUP($C24,'Seznam aktivit'!$B$3:$H$32,7)</f>
        <v>M. Hanuš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0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0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1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2Hájková Valérie</v>
      </c>
      <c r="C25" s="66">
        <v>2</v>
      </c>
      <c r="D25" s="12" t="s">
        <v>87</v>
      </c>
      <c r="E25" s="87" t="str">
        <f>VLOOKUP($C25,'Seznam aktivit'!$B$3:$H$32,2)</f>
        <v>12.09.2025</v>
      </c>
      <c r="F25" s="88">
        <f>VLOOKUP($C25,'Seznam aktivit'!$B$3:$H$32,4)</f>
        <v>1</v>
      </c>
      <c r="G25" s="89" t="str">
        <f>VLOOKUP($C25,'Seznam aktivit'!$B$3:$H$32,5)</f>
        <v>Vzdělávání s využitím nových technologií</v>
      </c>
      <c r="H25" s="89" t="str">
        <f>VLOOKUP($C25,'Seznam aktivit'!$B$3:$H$32,6)</f>
        <v>Kulturní povědomí a vyjádření</v>
      </c>
      <c r="I25" s="90" t="str">
        <f>VLOOKUP($C25,'Seznam aktivit'!$B$3:$H$32,7)</f>
        <v>M. Hanuš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0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0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1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2Chudý Dominik</v>
      </c>
      <c r="C26" s="66">
        <v>2</v>
      </c>
      <c r="D26" s="12" t="s">
        <v>88</v>
      </c>
      <c r="E26" s="87" t="str">
        <f>VLOOKUP($C26,'Seznam aktivit'!$B$3:$H$32,2)</f>
        <v>12.09.2025</v>
      </c>
      <c r="F26" s="88">
        <f>VLOOKUP($C26,'Seznam aktivit'!$B$3:$H$32,4)</f>
        <v>1</v>
      </c>
      <c r="G26" s="89" t="str">
        <f>VLOOKUP($C26,'Seznam aktivit'!$B$3:$H$32,5)</f>
        <v>Vzdělávání s využitím nových technologií</v>
      </c>
      <c r="H26" s="89" t="str">
        <f>VLOOKUP($C26,'Seznam aktivit'!$B$3:$H$32,6)</f>
        <v>Kulturní povědomí a vyjádření</v>
      </c>
      <c r="I26" s="90" t="str">
        <f>VLOOKUP($C26,'Seznam aktivit'!$B$3:$H$32,7)</f>
        <v>M. Hanuš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0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0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1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2Ježková Vendula</v>
      </c>
      <c r="C27" s="66">
        <v>2</v>
      </c>
      <c r="D27" s="12" t="s">
        <v>89</v>
      </c>
      <c r="E27" s="87" t="str">
        <f>VLOOKUP($C27,'Seznam aktivit'!$B$3:$H$32,2)</f>
        <v>12.09.2025</v>
      </c>
      <c r="F27" s="88">
        <f>VLOOKUP($C27,'Seznam aktivit'!$B$3:$H$32,4)</f>
        <v>1</v>
      </c>
      <c r="G27" s="89" t="str">
        <f>VLOOKUP($C27,'Seznam aktivit'!$B$3:$H$32,5)</f>
        <v>Vzdělávání s využitím nových technologií</v>
      </c>
      <c r="H27" s="89" t="str">
        <f>VLOOKUP($C27,'Seznam aktivit'!$B$3:$H$32,6)</f>
        <v>Kulturní povědomí a vyjádření</v>
      </c>
      <c r="I27" s="90" t="str">
        <f>VLOOKUP($C27,'Seznam aktivit'!$B$3:$H$32,7)</f>
        <v>M. Hanuš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0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0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1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2Juráň Jindřich</v>
      </c>
      <c r="C28" s="66">
        <v>2</v>
      </c>
      <c r="D28" s="12" t="s">
        <v>90</v>
      </c>
      <c r="E28" s="87" t="str">
        <f>VLOOKUP($C28,'Seznam aktivit'!$B$3:$H$32,2)</f>
        <v>12.09.2025</v>
      </c>
      <c r="F28" s="88">
        <f>VLOOKUP($C28,'Seznam aktivit'!$B$3:$H$32,4)</f>
        <v>1</v>
      </c>
      <c r="G28" s="89" t="str">
        <f>VLOOKUP($C28,'Seznam aktivit'!$B$3:$H$32,5)</f>
        <v>Vzdělávání s využitím nových technologií</v>
      </c>
      <c r="H28" s="89" t="str">
        <f>VLOOKUP($C28,'Seznam aktivit'!$B$3:$H$32,6)</f>
        <v>Kulturní povědomí a vyjádření</v>
      </c>
      <c r="I28" s="90" t="str">
        <f>VLOOKUP($C28,'Seznam aktivit'!$B$3:$H$32,7)</f>
        <v>M. Hanuš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0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0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1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2Krywdová Eliška</v>
      </c>
      <c r="C29" s="66">
        <v>2</v>
      </c>
      <c r="D29" s="12" t="s">
        <v>91</v>
      </c>
      <c r="E29" s="87" t="str">
        <f>VLOOKUP($C29,'Seznam aktivit'!$B$3:$H$32,2)</f>
        <v>12.09.2025</v>
      </c>
      <c r="F29" s="88">
        <f>VLOOKUP($C29,'Seznam aktivit'!$B$3:$H$32,4)</f>
        <v>1</v>
      </c>
      <c r="G29" s="89" t="str">
        <f>VLOOKUP($C29,'Seznam aktivit'!$B$3:$H$32,5)</f>
        <v>Vzdělávání s využitím nových technologií</v>
      </c>
      <c r="H29" s="89" t="str">
        <f>VLOOKUP($C29,'Seznam aktivit'!$B$3:$H$32,6)</f>
        <v>Kulturní povědomí a vyjádření</v>
      </c>
      <c r="I29" s="90" t="str">
        <f>VLOOKUP($C29,'Seznam aktivit'!$B$3:$H$32,7)</f>
        <v>M. Hanuš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0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0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1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2Ondříšek Václav</v>
      </c>
      <c r="C30" s="66">
        <v>2</v>
      </c>
      <c r="D30" s="12" t="s">
        <v>93</v>
      </c>
      <c r="E30" s="87" t="str">
        <f>VLOOKUP($C30,'Seznam aktivit'!$B$3:$H$32,2)</f>
        <v>12.09.2025</v>
      </c>
      <c r="F30" s="88">
        <f>VLOOKUP($C30,'Seznam aktivit'!$B$3:$H$32,4)</f>
        <v>1</v>
      </c>
      <c r="G30" s="89" t="str">
        <f>VLOOKUP($C30,'Seznam aktivit'!$B$3:$H$32,5)</f>
        <v>Vzdělávání s využitím nových technologií</v>
      </c>
      <c r="H30" s="89" t="str">
        <f>VLOOKUP($C30,'Seznam aktivit'!$B$3:$H$32,6)</f>
        <v>Kulturní povědomí a vyjádření</v>
      </c>
      <c r="I30" s="90" t="str">
        <f>VLOOKUP($C30,'Seznam aktivit'!$B$3:$H$32,7)</f>
        <v>M. Hanuš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0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0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1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2Patrman Ondřej</v>
      </c>
      <c r="C31" s="66">
        <v>2</v>
      </c>
      <c r="D31" s="12" t="s">
        <v>94</v>
      </c>
      <c r="E31" s="87" t="str">
        <f>VLOOKUP($C31,'Seznam aktivit'!$B$3:$H$32,2)</f>
        <v>12.09.2025</v>
      </c>
      <c r="F31" s="88">
        <f>VLOOKUP($C31,'Seznam aktivit'!$B$3:$H$32,4)</f>
        <v>1</v>
      </c>
      <c r="G31" s="89" t="str">
        <f>VLOOKUP($C31,'Seznam aktivit'!$B$3:$H$32,5)</f>
        <v>Vzdělávání s využitím nových technologií</v>
      </c>
      <c r="H31" s="89" t="str">
        <f>VLOOKUP($C31,'Seznam aktivit'!$B$3:$H$32,6)</f>
        <v>Kulturní povědomí a vyjádření</v>
      </c>
      <c r="I31" s="90" t="str">
        <f>VLOOKUP($C31,'Seznam aktivit'!$B$3:$H$32,7)</f>
        <v>M. Hanuš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0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0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1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2Polák Filip</v>
      </c>
      <c r="C32" s="66">
        <v>2</v>
      </c>
      <c r="D32" s="12" t="s">
        <v>95</v>
      </c>
      <c r="E32" s="87" t="str">
        <f>VLOOKUP($C32,'Seznam aktivit'!$B$3:$H$32,2)</f>
        <v>12.09.2025</v>
      </c>
      <c r="F32" s="88">
        <f>VLOOKUP($C32,'Seznam aktivit'!$B$3:$H$32,4)</f>
        <v>1</v>
      </c>
      <c r="G32" s="89" t="str">
        <f>VLOOKUP($C32,'Seznam aktivit'!$B$3:$H$32,5)</f>
        <v>Vzdělávání s využitím nových technologií</v>
      </c>
      <c r="H32" s="89" t="str">
        <f>VLOOKUP($C32,'Seznam aktivit'!$B$3:$H$32,6)</f>
        <v>Kulturní povědomí a vyjádření</v>
      </c>
      <c r="I32" s="90" t="str">
        <f>VLOOKUP($C32,'Seznam aktivit'!$B$3:$H$32,7)</f>
        <v>M. Hanuš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0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0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1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2Poliaková Julie</v>
      </c>
      <c r="C33" s="66">
        <v>2</v>
      </c>
      <c r="D33" s="12" t="s">
        <v>96</v>
      </c>
      <c r="E33" s="87" t="str">
        <f>VLOOKUP($C33,'Seznam aktivit'!$B$3:$H$32,2)</f>
        <v>12.09.2025</v>
      </c>
      <c r="F33" s="88">
        <f>VLOOKUP($C33,'Seznam aktivit'!$B$3:$H$32,4)</f>
        <v>1</v>
      </c>
      <c r="G33" s="89" t="str">
        <f>VLOOKUP($C33,'Seznam aktivit'!$B$3:$H$32,5)</f>
        <v>Vzdělávání s využitím nových technologií</v>
      </c>
      <c r="H33" s="89" t="str">
        <f>VLOOKUP($C33,'Seznam aktivit'!$B$3:$H$32,6)</f>
        <v>Kulturní povědomí a vyjádření</v>
      </c>
      <c r="I33" s="90" t="str">
        <f>VLOOKUP($C33,'Seznam aktivit'!$B$3:$H$32,7)</f>
        <v>M. Hanuš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0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0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1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2Přecechtěl František</v>
      </c>
      <c r="C34" s="66">
        <v>2</v>
      </c>
      <c r="D34" s="12" t="s">
        <v>97</v>
      </c>
      <c r="E34" s="87" t="str">
        <f>VLOOKUP($C34,'Seznam aktivit'!$B$3:$H$32,2)</f>
        <v>12.09.2025</v>
      </c>
      <c r="F34" s="88">
        <f>VLOOKUP($C34,'Seznam aktivit'!$B$3:$H$32,4)</f>
        <v>1</v>
      </c>
      <c r="G34" s="89" t="str">
        <f>VLOOKUP($C34,'Seznam aktivit'!$B$3:$H$32,5)</f>
        <v>Vzdělávání s využitím nových technologií</v>
      </c>
      <c r="H34" s="89" t="str">
        <f>VLOOKUP($C34,'Seznam aktivit'!$B$3:$H$32,6)</f>
        <v>Kulturní povědomí a vyjádření</v>
      </c>
      <c r="I34" s="90" t="str">
        <f>VLOOKUP($C34,'Seznam aktivit'!$B$3:$H$32,7)</f>
        <v>M. Hanuš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0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0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1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2Trávníčková Anastázie</v>
      </c>
      <c r="C35" s="66">
        <v>2</v>
      </c>
      <c r="D35" s="12" t="s">
        <v>100</v>
      </c>
      <c r="E35" s="87" t="str">
        <f>VLOOKUP($C35,'Seznam aktivit'!$B$3:$H$32,2)</f>
        <v>12.09.2025</v>
      </c>
      <c r="F35" s="88">
        <f>VLOOKUP($C35,'Seznam aktivit'!$B$3:$H$32,4)</f>
        <v>1</v>
      </c>
      <c r="G35" s="89" t="str">
        <f>VLOOKUP($C35,'Seznam aktivit'!$B$3:$H$32,5)</f>
        <v>Vzdělávání s využitím nových technologií</v>
      </c>
      <c r="H35" s="89" t="str">
        <f>VLOOKUP($C35,'Seznam aktivit'!$B$3:$H$32,6)</f>
        <v>Kulturní povědomí a vyjádření</v>
      </c>
      <c r="I35" s="90" t="str">
        <f>VLOOKUP($C35,'Seznam aktivit'!$B$3:$H$32,7)</f>
        <v>M. Hanuš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0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0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1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3Antala Štěpán</v>
      </c>
      <c r="C36" s="66">
        <v>3</v>
      </c>
      <c r="D36" s="12" t="s">
        <v>82</v>
      </c>
      <c r="E36" s="87" t="str">
        <f>VLOOKUP($C36,'Seznam aktivit'!$B$3:$H$32,2)</f>
        <v>17.09.2025</v>
      </c>
      <c r="F36" s="88">
        <f>VLOOKUP($C36,'Seznam aktivit'!$B$3:$H$32,4)</f>
        <v>1</v>
      </c>
      <c r="G36" s="89" t="str">
        <f>VLOOKUP($C36,'Seznam aktivit'!$B$3:$H$32,5)</f>
        <v>Vzdělávání s využitím nových technologií</v>
      </c>
      <c r="H36" s="89" t="str">
        <f>VLOOKUP($C36,'Seznam aktivit'!$B$3:$H$32,6)</f>
        <v>Kulturní povědomí a vyjádření</v>
      </c>
      <c r="I36" s="90" t="str">
        <f>VLOOKUP($C36,'Seznam aktivit'!$B$3:$H$32,7)</f>
        <v>M. Hanuš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0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0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1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3Benč Patrik</v>
      </c>
      <c r="C37" s="66">
        <v>3</v>
      </c>
      <c r="D37" s="12" t="s">
        <v>83</v>
      </c>
      <c r="E37" s="87" t="str">
        <f>VLOOKUP($C37,'Seznam aktivit'!$B$3:$H$32,2)</f>
        <v>17.09.2025</v>
      </c>
      <c r="F37" s="88">
        <f>VLOOKUP($C37,'Seznam aktivit'!$B$3:$H$32,4)</f>
        <v>1</v>
      </c>
      <c r="G37" s="89" t="str">
        <f>VLOOKUP($C37,'Seznam aktivit'!$B$3:$H$32,5)</f>
        <v>Vzdělávání s využitím nových technologií</v>
      </c>
      <c r="H37" s="89" t="str">
        <f>VLOOKUP($C37,'Seznam aktivit'!$B$3:$H$32,6)</f>
        <v>Kulturní povědomí a vyjádření</v>
      </c>
      <c r="I37" s="90" t="str">
        <f>VLOOKUP($C37,'Seznam aktivit'!$B$3:$H$32,7)</f>
        <v>M. Hanuš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0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0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1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3Boruvka Matyáš</v>
      </c>
      <c r="C38" s="66">
        <v>3</v>
      </c>
      <c r="D38" s="12" t="s">
        <v>84</v>
      </c>
      <c r="E38" s="87" t="str">
        <f>VLOOKUP($C38,'Seznam aktivit'!$B$3:$H$32,2)</f>
        <v>17.09.2025</v>
      </c>
      <c r="F38" s="88">
        <f>VLOOKUP($C38,'Seznam aktivit'!$B$3:$H$32,4)</f>
        <v>1</v>
      </c>
      <c r="G38" s="89" t="str">
        <f>VLOOKUP($C38,'Seznam aktivit'!$B$3:$H$32,5)</f>
        <v>Vzdělávání s využitím nových technologií</v>
      </c>
      <c r="H38" s="89" t="str">
        <f>VLOOKUP($C38,'Seznam aktivit'!$B$3:$H$32,6)</f>
        <v>Kulturní povědomí a vyjádření</v>
      </c>
      <c r="I38" s="90" t="str">
        <f>VLOOKUP($C38,'Seznam aktivit'!$B$3:$H$32,7)</f>
        <v>M. Hanuš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0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0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1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3Brenkusová Vanesa</v>
      </c>
      <c r="C39" s="66">
        <v>3</v>
      </c>
      <c r="D39" s="12" t="s">
        <v>85</v>
      </c>
      <c r="E39" s="87" t="str">
        <f>VLOOKUP($C39,'Seznam aktivit'!$B$3:$H$32,2)</f>
        <v>17.09.2025</v>
      </c>
      <c r="F39" s="88">
        <f>VLOOKUP($C39,'Seznam aktivit'!$B$3:$H$32,4)</f>
        <v>1</v>
      </c>
      <c r="G39" s="89" t="str">
        <f>VLOOKUP($C39,'Seznam aktivit'!$B$3:$H$32,5)</f>
        <v>Vzdělávání s využitím nových technologií</v>
      </c>
      <c r="H39" s="89" t="str">
        <f>VLOOKUP($C39,'Seznam aktivit'!$B$3:$H$32,6)</f>
        <v>Kulturní povědomí a vyjádření</v>
      </c>
      <c r="I39" s="90" t="str">
        <f>VLOOKUP($C39,'Seznam aktivit'!$B$3:$H$32,7)</f>
        <v>M. Hanuš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0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0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1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3Brixelová Elen</v>
      </c>
      <c r="C40" s="66">
        <v>3</v>
      </c>
      <c r="D40" s="12" t="s">
        <v>86</v>
      </c>
      <c r="E40" s="87" t="str">
        <f>VLOOKUP($C40,'Seznam aktivit'!$B$3:$H$32,2)</f>
        <v>17.09.2025</v>
      </c>
      <c r="F40" s="88">
        <f>VLOOKUP($C40,'Seznam aktivit'!$B$3:$H$32,4)</f>
        <v>1</v>
      </c>
      <c r="G40" s="89" t="str">
        <f>VLOOKUP($C40,'Seznam aktivit'!$B$3:$H$32,5)</f>
        <v>Vzdělávání s využitím nových technologií</v>
      </c>
      <c r="H40" s="89" t="str">
        <f>VLOOKUP($C40,'Seznam aktivit'!$B$3:$H$32,6)</f>
        <v>Kulturní povědomí a vyjádření</v>
      </c>
      <c r="I40" s="90" t="str">
        <f>VLOOKUP($C40,'Seznam aktivit'!$B$3:$H$32,7)</f>
        <v>M. Hanuš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0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0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1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3Hájková Valérie</v>
      </c>
      <c r="C41" s="66">
        <v>3</v>
      </c>
      <c r="D41" s="12" t="s">
        <v>87</v>
      </c>
      <c r="E41" s="87" t="str">
        <f>VLOOKUP($C41,'Seznam aktivit'!$B$3:$H$32,2)</f>
        <v>17.09.2025</v>
      </c>
      <c r="F41" s="88">
        <f>VLOOKUP($C41,'Seznam aktivit'!$B$3:$H$32,4)</f>
        <v>1</v>
      </c>
      <c r="G41" s="89" t="str">
        <f>VLOOKUP($C41,'Seznam aktivit'!$B$3:$H$32,5)</f>
        <v>Vzdělávání s využitím nových technologií</v>
      </c>
      <c r="H41" s="89" t="str">
        <f>VLOOKUP($C41,'Seznam aktivit'!$B$3:$H$32,6)</f>
        <v>Kulturní povědomí a vyjádření</v>
      </c>
      <c r="I41" s="90" t="str">
        <f>VLOOKUP($C41,'Seznam aktivit'!$B$3:$H$32,7)</f>
        <v>M. Hanuš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0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0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1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3Chudý Dominik</v>
      </c>
      <c r="C42" s="66">
        <v>3</v>
      </c>
      <c r="D42" s="12" t="s">
        <v>88</v>
      </c>
      <c r="E42" s="87" t="str">
        <f>VLOOKUP($C42,'Seznam aktivit'!$B$3:$H$32,2)</f>
        <v>17.09.2025</v>
      </c>
      <c r="F42" s="88">
        <f>VLOOKUP($C42,'Seznam aktivit'!$B$3:$H$32,4)</f>
        <v>1</v>
      </c>
      <c r="G42" s="89" t="str">
        <f>VLOOKUP($C42,'Seznam aktivit'!$B$3:$H$32,5)</f>
        <v>Vzdělávání s využitím nových technologií</v>
      </c>
      <c r="H42" s="89" t="str">
        <f>VLOOKUP($C42,'Seznam aktivit'!$B$3:$H$32,6)</f>
        <v>Kulturní povědomí a vyjádření</v>
      </c>
      <c r="I42" s="90" t="str">
        <f>VLOOKUP($C42,'Seznam aktivit'!$B$3:$H$32,7)</f>
        <v>M. Hanuš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0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0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1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3Ježková Vendula</v>
      </c>
      <c r="C43" s="66">
        <v>3</v>
      </c>
      <c r="D43" s="12" t="s">
        <v>89</v>
      </c>
      <c r="E43" s="87" t="str">
        <f>VLOOKUP($C43,'Seznam aktivit'!$B$3:$H$32,2)</f>
        <v>17.09.2025</v>
      </c>
      <c r="F43" s="88">
        <f>VLOOKUP($C43,'Seznam aktivit'!$B$3:$H$32,4)</f>
        <v>1</v>
      </c>
      <c r="G43" s="89" t="str">
        <f>VLOOKUP($C43,'Seznam aktivit'!$B$3:$H$32,5)</f>
        <v>Vzdělávání s využitím nových technologií</v>
      </c>
      <c r="H43" s="89" t="str">
        <f>VLOOKUP($C43,'Seznam aktivit'!$B$3:$H$32,6)</f>
        <v>Kulturní povědomí a vyjádření</v>
      </c>
      <c r="I43" s="90" t="str">
        <f>VLOOKUP($C43,'Seznam aktivit'!$B$3:$H$32,7)</f>
        <v>M. Hanuš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0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0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1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3Juráň Jindřich</v>
      </c>
      <c r="C44" s="66">
        <v>3</v>
      </c>
      <c r="D44" s="12" t="s">
        <v>90</v>
      </c>
      <c r="E44" s="87" t="str">
        <f>VLOOKUP($C44,'Seznam aktivit'!$B$3:$H$32,2)</f>
        <v>17.09.2025</v>
      </c>
      <c r="F44" s="88">
        <f>VLOOKUP($C44,'Seznam aktivit'!$B$3:$H$32,4)</f>
        <v>1</v>
      </c>
      <c r="G44" s="89" t="str">
        <f>VLOOKUP($C44,'Seznam aktivit'!$B$3:$H$32,5)</f>
        <v>Vzdělávání s využitím nových technologií</v>
      </c>
      <c r="H44" s="89" t="str">
        <f>VLOOKUP($C44,'Seznam aktivit'!$B$3:$H$32,6)</f>
        <v>Kulturní povědomí a vyjádření</v>
      </c>
      <c r="I44" s="90" t="str">
        <f>VLOOKUP($C44,'Seznam aktivit'!$B$3:$H$32,7)</f>
        <v>M. Hanuš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0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0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1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3Marko Radek</v>
      </c>
      <c r="C45" s="66">
        <v>3</v>
      </c>
      <c r="D45" s="12" t="s">
        <v>92</v>
      </c>
      <c r="E45" s="87" t="str">
        <f>VLOOKUP($C45,'Seznam aktivit'!$B$3:$H$32,2)</f>
        <v>17.09.2025</v>
      </c>
      <c r="F45" s="88">
        <f>VLOOKUP($C45,'Seznam aktivit'!$B$3:$H$32,4)</f>
        <v>1</v>
      </c>
      <c r="G45" s="89" t="str">
        <f>VLOOKUP($C45,'Seznam aktivit'!$B$3:$H$32,5)</f>
        <v>Vzdělávání s využitím nových technologií</v>
      </c>
      <c r="H45" s="89" t="str">
        <f>VLOOKUP($C45,'Seznam aktivit'!$B$3:$H$32,6)</f>
        <v>Kulturní povědomí a vyjádření</v>
      </c>
      <c r="I45" s="90" t="str">
        <f>VLOOKUP($C45,'Seznam aktivit'!$B$3:$H$32,7)</f>
        <v>M. Hanuš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0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0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1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3Polák Filip</v>
      </c>
      <c r="C46" s="66">
        <v>3</v>
      </c>
      <c r="D46" s="12" t="s">
        <v>95</v>
      </c>
      <c r="E46" s="87" t="str">
        <f>VLOOKUP($C46,'Seznam aktivit'!$B$3:$H$32,2)</f>
        <v>17.09.2025</v>
      </c>
      <c r="F46" s="88">
        <f>VLOOKUP($C46,'Seznam aktivit'!$B$3:$H$32,4)</f>
        <v>1</v>
      </c>
      <c r="G46" s="89" t="str">
        <f>VLOOKUP($C46,'Seznam aktivit'!$B$3:$H$32,5)</f>
        <v>Vzdělávání s využitím nových technologií</v>
      </c>
      <c r="H46" s="89" t="str">
        <f>VLOOKUP($C46,'Seznam aktivit'!$B$3:$H$32,6)</f>
        <v>Kulturní povědomí a vyjádření</v>
      </c>
      <c r="I46" s="90" t="str">
        <f>VLOOKUP($C46,'Seznam aktivit'!$B$3:$H$32,7)</f>
        <v>M. Hanuš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0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0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1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3Poliaková Julie</v>
      </c>
      <c r="C47" s="66">
        <v>3</v>
      </c>
      <c r="D47" s="12" t="s">
        <v>96</v>
      </c>
      <c r="E47" s="87" t="str">
        <f>VLOOKUP($C47,'Seznam aktivit'!$B$3:$H$32,2)</f>
        <v>17.09.2025</v>
      </c>
      <c r="F47" s="88">
        <f>VLOOKUP($C47,'Seznam aktivit'!$B$3:$H$32,4)</f>
        <v>1</v>
      </c>
      <c r="G47" s="89" t="str">
        <f>VLOOKUP($C47,'Seznam aktivit'!$B$3:$H$32,5)</f>
        <v>Vzdělávání s využitím nových technologií</v>
      </c>
      <c r="H47" s="89" t="str">
        <f>VLOOKUP($C47,'Seznam aktivit'!$B$3:$H$32,6)</f>
        <v>Kulturní povědomí a vyjádření</v>
      </c>
      <c r="I47" s="90" t="str">
        <f>VLOOKUP($C47,'Seznam aktivit'!$B$3:$H$32,7)</f>
        <v>M. Hanuš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0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0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1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3Přecechtěl František</v>
      </c>
      <c r="C48" s="66">
        <v>3</v>
      </c>
      <c r="D48" s="12" t="s">
        <v>97</v>
      </c>
      <c r="E48" s="87" t="str">
        <f>VLOOKUP($C48,'Seznam aktivit'!$B$3:$H$32,2)</f>
        <v>17.09.2025</v>
      </c>
      <c r="F48" s="88">
        <f>VLOOKUP($C48,'Seznam aktivit'!$B$3:$H$32,4)</f>
        <v>1</v>
      </c>
      <c r="G48" s="89" t="str">
        <f>VLOOKUP($C48,'Seznam aktivit'!$B$3:$H$32,5)</f>
        <v>Vzdělávání s využitím nových technologií</v>
      </c>
      <c r="H48" s="89" t="str">
        <f>VLOOKUP($C48,'Seznam aktivit'!$B$3:$H$32,6)</f>
        <v>Kulturní povědomí a vyjádření</v>
      </c>
      <c r="I48" s="90" t="str">
        <f>VLOOKUP($C48,'Seznam aktivit'!$B$3:$H$32,7)</f>
        <v>M. Hanuš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0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0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1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3Semančíková Anežka</v>
      </c>
      <c r="C49" s="66">
        <v>3</v>
      </c>
      <c r="D49" s="12" t="s">
        <v>98</v>
      </c>
      <c r="E49" s="87" t="str">
        <f>VLOOKUP($C49,'Seznam aktivit'!$B$3:$H$32,2)</f>
        <v>17.09.2025</v>
      </c>
      <c r="F49" s="88">
        <f>VLOOKUP($C49,'Seznam aktivit'!$B$3:$H$32,4)</f>
        <v>1</v>
      </c>
      <c r="G49" s="89" t="str">
        <f>VLOOKUP($C49,'Seznam aktivit'!$B$3:$H$32,5)</f>
        <v>Vzdělávání s využitím nových technologií</v>
      </c>
      <c r="H49" s="89" t="str">
        <f>VLOOKUP($C49,'Seznam aktivit'!$B$3:$H$32,6)</f>
        <v>Kulturní povědomí a vyjádření</v>
      </c>
      <c r="I49" s="90" t="str">
        <f>VLOOKUP($C49,'Seznam aktivit'!$B$3:$H$32,7)</f>
        <v>M. Hanuš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0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0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1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3Soška Filip</v>
      </c>
      <c r="C50" s="66">
        <v>3</v>
      </c>
      <c r="D50" s="12" t="s">
        <v>99</v>
      </c>
      <c r="E50" s="87" t="str">
        <f>VLOOKUP($C50,'Seznam aktivit'!$B$3:$H$32,2)</f>
        <v>17.09.2025</v>
      </c>
      <c r="F50" s="88">
        <f>VLOOKUP($C50,'Seznam aktivit'!$B$3:$H$32,4)</f>
        <v>1</v>
      </c>
      <c r="G50" s="89" t="str">
        <f>VLOOKUP($C50,'Seznam aktivit'!$B$3:$H$32,5)</f>
        <v>Vzdělávání s využitím nových technologií</v>
      </c>
      <c r="H50" s="89" t="str">
        <f>VLOOKUP($C50,'Seznam aktivit'!$B$3:$H$32,6)</f>
        <v>Kulturní povědomí a vyjádření</v>
      </c>
      <c r="I50" s="90" t="str">
        <f>VLOOKUP($C50,'Seznam aktivit'!$B$3:$H$32,7)</f>
        <v>M. Hanuš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0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0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1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3Trávníčková Anastázie</v>
      </c>
      <c r="C51" s="66">
        <v>3</v>
      </c>
      <c r="D51" s="12" t="s">
        <v>100</v>
      </c>
      <c r="E51" s="87" t="str">
        <f>VLOOKUP($C51,'Seznam aktivit'!$B$3:$H$32,2)</f>
        <v>17.09.2025</v>
      </c>
      <c r="F51" s="88">
        <f>VLOOKUP($C51,'Seznam aktivit'!$B$3:$H$32,4)</f>
        <v>1</v>
      </c>
      <c r="G51" s="89" t="str">
        <f>VLOOKUP($C51,'Seznam aktivit'!$B$3:$H$32,5)</f>
        <v>Vzdělávání s využitím nových technologií</v>
      </c>
      <c r="H51" s="89" t="str">
        <f>VLOOKUP($C51,'Seznam aktivit'!$B$3:$H$32,6)</f>
        <v>Kulturní povědomí a vyjádření</v>
      </c>
      <c r="I51" s="90" t="str">
        <f>VLOOKUP($C51,'Seznam aktivit'!$B$3:$H$32,7)</f>
        <v>M. Hanuš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0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0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1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3Vala Tomáš</v>
      </c>
      <c r="C52" s="66">
        <v>3</v>
      </c>
      <c r="D52" s="12" t="s">
        <v>101</v>
      </c>
      <c r="E52" s="87" t="str">
        <f>VLOOKUP($C52,'Seznam aktivit'!$B$3:$H$32,2)</f>
        <v>17.09.2025</v>
      </c>
      <c r="F52" s="88">
        <f>VLOOKUP($C52,'Seznam aktivit'!$B$3:$H$32,4)</f>
        <v>1</v>
      </c>
      <c r="G52" s="89" t="str">
        <f>VLOOKUP($C52,'Seznam aktivit'!$B$3:$H$32,5)</f>
        <v>Vzdělávání s využitím nových technologií</v>
      </c>
      <c r="H52" s="89" t="str">
        <f>VLOOKUP($C52,'Seznam aktivit'!$B$3:$H$32,6)</f>
        <v>Kulturní povědomí a vyjádření</v>
      </c>
      <c r="I52" s="90" t="str">
        <f>VLOOKUP($C52,'Seznam aktivit'!$B$3:$H$32,7)</f>
        <v>M. Hanuš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0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0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1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4Antala Štěpán</v>
      </c>
      <c r="C53" s="66">
        <v>4</v>
      </c>
      <c r="D53" s="12" t="s">
        <v>82</v>
      </c>
      <c r="E53" s="87" t="str">
        <f>VLOOKUP($C53,'Seznam aktivit'!$B$3:$H$32,2)</f>
        <v>19.09.2025</v>
      </c>
      <c r="F53" s="88">
        <f>VLOOKUP($C53,'Seznam aktivit'!$B$3:$H$32,4)</f>
        <v>1</v>
      </c>
      <c r="G53" s="89" t="str">
        <f>VLOOKUP($C53,'Seznam aktivit'!$B$3:$H$32,5)</f>
        <v>Projektové vzdělávání / projektová výuka</v>
      </c>
      <c r="H53" s="89" t="str">
        <f>VLOOKUP($C53,'Seznam aktivit'!$B$3:$H$32,6)</f>
        <v>Vzdělávání s využitím nových technologií</v>
      </c>
      <c r="I53" s="90" t="str">
        <f>VLOOKUP($C53,'Seznam aktivit'!$B$3:$H$32,7)</f>
        <v>M. Hanuš</v>
      </c>
      <c r="J53" s="42">
        <f t="shared" si="3"/>
        <v>1</v>
      </c>
      <c r="K53" s="32">
        <f t="shared" si="4"/>
        <v>1</v>
      </c>
      <c r="L53" s="32">
        <f t="shared" si="10"/>
        <v>0</v>
      </c>
      <c r="M53" s="32">
        <f t="shared" si="9"/>
        <v>0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0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1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4Boruvka Matyáš</v>
      </c>
      <c r="C54" s="66">
        <v>4</v>
      </c>
      <c r="D54" s="12" t="s">
        <v>84</v>
      </c>
      <c r="E54" s="87" t="str">
        <f>VLOOKUP($C54,'Seznam aktivit'!$B$3:$H$32,2)</f>
        <v>19.09.2025</v>
      </c>
      <c r="F54" s="88">
        <f>VLOOKUP($C54,'Seznam aktivit'!$B$3:$H$32,4)</f>
        <v>1</v>
      </c>
      <c r="G54" s="89" t="str">
        <f>VLOOKUP($C54,'Seznam aktivit'!$B$3:$H$32,5)</f>
        <v>Projektové vzdělávání / projektová výuka</v>
      </c>
      <c r="H54" s="89" t="str">
        <f>VLOOKUP($C54,'Seznam aktivit'!$B$3:$H$32,6)</f>
        <v>Vzdělávání s využitím nových technologií</v>
      </c>
      <c r="I54" s="90" t="str">
        <f>VLOOKUP($C54,'Seznam aktivit'!$B$3:$H$32,7)</f>
        <v>M. Hanuš</v>
      </c>
      <c r="J54" s="42">
        <f t="shared" si="3"/>
        <v>1</v>
      </c>
      <c r="K54" s="32">
        <f t="shared" si="4"/>
        <v>1</v>
      </c>
      <c r="L54" s="32">
        <f t="shared" si="10"/>
        <v>0</v>
      </c>
      <c r="M54" s="32">
        <f t="shared" si="9"/>
        <v>0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0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1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4Brenkusová Vanesa</v>
      </c>
      <c r="C55" s="66">
        <v>4</v>
      </c>
      <c r="D55" s="12" t="s">
        <v>85</v>
      </c>
      <c r="E55" s="87" t="str">
        <f>VLOOKUP($C55,'Seznam aktivit'!$B$3:$H$32,2)</f>
        <v>19.09.2025</v>
      </c>
      <c r="F55" s="88">
        <f>VLOOKUP($C55,'Seznam aktivit'!$B$3:$H$32,4)</f>
        <v>1</v>
      </c>
      <c r="G55" s="89" t="str">
        <f>VLOOKUP($C55,'Seznam aktivit'!$B$3:$H$32,5)</f>
        <v>Projektové vzdělávání / projektová výuka</v>
      </c>
      <c r="H55" s="89" t="str">
        <f>VLOOKUP($C55,'Seznam aktivit'!$B$3:$H$32,6)</f>
        <v>Vzdělávání s využitím nových technologií</v>
      </c>
      <c r="I55" s="90" t="str">
        <f>VLOOKUP($C55,'Seznam aktivit'!$B$3:$H$32,7)</f>
        <v>M. Hanuš</v>
      </c>
      <c r="J55" s="42">
        <f t="shared" si="3"/>
        <v>1</v>
      </c>
      <c r="K55" s="32">
        <f t="shared" si="4"/>
        <v>1</v>
      </c>
      <c r="L55" s="32">
        <f t="shared" si="10"/>
        <v>0</v>
      </c>
      <c r="M55" s="32">
        <f t="shared" si="9"/>
        <v>0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0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1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4Hájková Valérie</v>
      </c>
      <c r="C56" s="66">
        <v>4</v>
      </c>
      <c r="D56" s="12" t="s">
        <v>87</v>
      </c>
      <c r="E56" s="87" t="str">
        <f>VLOOKUP($C56,'Seznam aktivit'!$B$3:$H$32,2)</f>
        <v>19.09.2025</v>
      </c>
      <c r="F56" s="88">
        <f>VLOOKUP($C56,'Seznam aktivit'!$B$3:$H$32,4)</f>
        <v>1</v>
      </c>
      <c r="G56" s="89" t="str">
        <f>VLOOKUP($C56,'Seznam aktivit'!$B$3:$H$32,5)</f>
        <v>Projektové vzdělávání / projektová výuka</v>
      </c>
      <c r="H56" s="89" t="str">
        <f>VLOOKUP($C56,'Seznam aktivit'!$B$3:$H$32,6)</f>
        <v>Vzdělávání s využitím nových technologií</v>
      </c>
      <c r="I56" s="90" t="str">
        <f>VLOOKUP($C56,'Seznam aktivit'!$B$3:$H$32,7)</f>
        <v>M. Hanuš</v>
      </c>
      <c r="J56" s="42">
        <f t="shared" si="3"/>
        <v>1</v>
      </c>
      <c r="K56" s="32">
        <f t="shared" si="4"/>
        <v>1</v>
      </c>
      <c r="L56" s="32">
        <f t="shared" si="10"/>
        <v>0</v>
      </c>
      <c r="M56" s="32">
        <f t="shared" si="9"/>
        <v>0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0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1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4Chudý Dominik</v>
      </c>
      <c r="C57" s="66">
        <v>4</v>
      </c>
      <c r="D57" s="12" t="s">
        <v>88</v>
      </c>
      <c r="E57" s="87" t="str">
        <f>VLOOKUP($C57,'Seznam aktivit'!$B$3:$H$32,2)</f>
        <v>19.09.2025</v>
      </c>
      <c r="F57" s="88">
        <f>VLOOKUP($C57,'Seznam aktivit'!$B$3:$H$32,4)</f>
        <v>1</v>
      </c>
      <c r="G57" s="89" t="str">
        <f>VLOOKUP($C57,'Seznam aktivit'!$B$3:$H$32,5)</f>
        <v>Projektové vzdělávání / projektová výuka</v>
      </c>
      <c r="H57" s="89" t="str">
        <f>VLOOKUP($C57,'Seznam aktivit'!$B$3:$H$32,6)</f>
        <v>Vzdělávání s využitím nových technologií</v>
      </c>
      <c r="I57" s="90" t="str">
        <f>VLOOKUP($C57,'Seznam aktivit'!$B$3:$H$32,7)</f>
        <v>M. Hanuš</v>
      </c>
      <c r="J57" s="42">
        <f t="shared" si="3"/>
        <v>1</v>
      </c>
      <c r="K57" s="32">
        <f t="shared" si="4"/>
        <v>1</v>
      </c>
      <c r="L57" s="32">
        <f t="shared" si="10"/>
        <v>0</v>
      </c>
      <c r="M57" s="32">
        <f t="shared" si="9"/>
        <v>0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0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1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4Ježková Vendula</v>
      </c>
      <c r="C58" s="66">
        <v>4</v>
      </c>
      <c r="D58" s="12" t="s">
        <v>89</v>
      </c>
      <c r="E58" s="87" t="str">
        <f>VLOOKUP($C58,'Seznam aktivit'!$B$3:$H$32,2)</f>
        <v>19.09.2025</v>
      </c>
      <c r="F58" s="88">
        <f>VLOOKUP($C58,'Seznam aktivit'!$B$3:$H$32,4)</f>
        <v>1</v>
      </c>
      <c r="G58" s="89" t="str">
        <f>VLOOKUP($C58,'Seznam aktivit'!$B$3:$H$32,5)</f>
        <v>Projektové vzdělávání / projektová výuka</v>
      </c>
      <c r="H58" s="89" t="str">
        <f>VLOOKUP($C58,'Seznam aktivit'!$B$3:$H$32,6)</f>
        <v>Vzdělávání s využitím nových technologií</v>
      </c>
      <c r="I58" s="90" t="str">
        <f>VLOOKUP($C58,'Seznam aktivit'!$B$3:$H$32,7)</f>
        <v>M. Hanuš</v>
      </c>
      <c r="J58" s="42">
        <f t="shared" si="3"/>
        <v>1</v>
      </c>
      <c r="K58" s="32">
        <f t="shared" si="4"/>
        <v>1</v>
      </c>
      <c r="L58" s="32">
        <f t="shared" si="10"/>
        <v>0</v>
      </c>
      <c r="M58" s="32">
        <f t="shared" si="9"/>
        <v>0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0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1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4Juráň Jindřich</v>
      </c>
      <c r="C59" s="66">
        <v>4</v>
      </c>
      <c r="D59" s="12" t="s">
        <v>90</v>
      </c>
      <c r="E59" s="87" t="str">
        <f>VLOOKUP($C59,'Seznam aktivit'!$B$3:$H$32,2)</f>
        <v>19.09.2025</v>
      </c>
      <c r="F59" s="88">
        <f>VLOOKUP($C59,'Seznam aktivit'!$B$3:$H$32,4)</f>
        <v>1</v>
      </c>
      <c r="G59" s="89" t="str">
        <f>VLOOKUP($C59,'Seznam aktivit'!$B$3:$H$32,5)</f>
        <v>Projektové vzdělávání / projektová výuka</v>
      </c>
      <c r="H59" s="89" t="str">
        <f>VLOOKUP($C59,'Seznam aktivit'!$B$3:$H$32,6)</f>
        <v>Vzdělávání s využitím nových technologií</v>
      </c>
      <c r="I59" s="90" t="str">
        <f>VLOOKUP($C59,'Seznam aktivit'!$B$3:$H$32,7)</f>
        <v>M. Hanuš</v>
      </c>
      <c r="J59" s="42">
        <f t="shared" si="3"/>
        <v>1</v>
      </c>
      <c r="K59" s="32">
        <f t="shared" si="4"/>
        <v>1</v>
      </c>
      <c r="L59" s="32">
        <f t="shared" si="10"/>
        <v>0</v>
      </c>
      <c r="M59" s="32">
        <f t="shared" si="9"/>
        <v>0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0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1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4Marko Radek</v>
      </c>
      <c r="C60" s="66">
        <v>4</v>
      </c>
      <c r="D60" s="12" t="s">
        <v>92</v>
      </c>
      <c r="E60" s="87" t="str">
        <f>VLOOKUP($C60,'Seznam aktivit'!$B$3:$H$32,2)</f>
        <v>19.09.2025</v>
      </c>
      <c r="F60" s="88">
        <f>VLOOKUP($C60,'Seznam aktivit'!$B$3:$H$32,4)</f>
        <v>1</v>
      </c>
      <c r="G60" s="89" t="str">
        <f>VLOOKUP($C60,'Seznam aktivit'!$B$3:$H$32,5)</f>
        <v>Projektové vzdělávání / projektová výuka</v>
      </c>
      <c r="H60" s="89" t="str">
        <f>VLOOKUP($C60,'Seznam aktivit'!$B$3:$H$32,6)</f>
        <v>Vzdělávání s využitím nových technologií</v>
      </c>
      <c r="I60" s="90" t="str">
        <f>VLOOKUP($C60,'Seznam aktivit'!$B$3:$H$32,7)</f>
        <v>M. Hanuš</v>
      </c>
      <c r="J60" s="42">
        <f t="shared" si="3"/>
        <v>1</v>
      </c>
      <c r="K60" s="32">
        <f t="shared" si="4"/>
        <v>1</v>
      </c>
      <c r="L60" s="32">
        <f t="shared" si="10"/>
        <v>0</v>
      </c>
      <c r="M60" s="32">
        <f t="shared" si="9"/>
        <v>0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0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1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4Poliaková Julie</v>
      </c>
      <c r="C61" s="66">
        <v>4</v>
      </c>
      <c r="D61" s="12" t="s">
        <v>96</v>
      </c>
      <c r="E61" s="87" t="str">
        <f>VLOOKUP($C61,'Seznam aktivit'!$B$3:$H$32,2)</f>
        <v>19.09.2025</v>
      </c>
      <c r="F61" s="88">
        <f>VLOOKUP($C61,'Seznam aktivit'!$B$3:$H$32,4)</f>
        <v>1</v>
      </c>
      <c r="G61" s="89" t="str">
        <f>VLOOKUP($C61,'Seznam aktivit'!$B$3:$H$32,5)</f>
        <v>Projektové vzdělávání / projektová výuka</v>
      </c>
      <c r="H61" s="89" t="str">
        <f>VLOOKUP($C61,'Seznam aktivit'!$B$3:$H$32,6)</f>
        <v>Vzdělávání s využitím nových technologií</v>
      </c>
      <c r="I61" s="90" t="str">
        <f>VLOOKUP($C61,'Seznam aktivit'!$B$3:$H$32,7)</f>
        <v>M. Hanuš</v>
      </c>
      <c r="J61" s="42">
        <f t="shared" si="3"/>
        <v>1</v>
      </c>
      <c r="K61" s="32">
        <f t="shared" si="4"/>
        <v>1</v>
      </c>
      <c r="L61" s="32">
        <f t="shared" si="10"/>
        <v>0</v>
      </c>
      <c r="M61" s="32">
        <f t="shared" si="9"/>
        <v>0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0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1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4Přecechtěl František</v>
      </c>
      <c r="C62" s="66">
        <v>4</v>
      </c>
      <c r="D62" s="12" t="s">
        <v>97</v>
      </c>
      <c r="E62" s="87" t="str">
        <f>VLOOKUP($C62,'Seznam aktivit'!$B$3:$H$32,2)</f>
        <v>19.09.2025</v>
      </c>
      <c r="F62" s="88">
        <f>VLOOKUP($C62,'Seznam aktivit'!$B$3:$H$32,4)</f>
        <v>1</v>
      </c>
      <c r="G62" s="89" t="str">
        <f>VLOOKUP($C62,'Seznam aktivit'!$B$3:$H$32,5)</f>
        <v>Projektové vzdělávání / projektová výuka</v>
      </c>
      <c r="H62" s="89" t="str">
        <f>VLOOKUP($C62,'Seznam aktivit'!$B$3:$H$32,6)</f>
        <v>Vzdělávání s využitím nových technologií</v>
      </c>
      <c r="I62" s="90" t="str">
        <f>VLOOKUP($C62,'Seznam aktivit'!$B$3:$H$32,7)</f>
        <v>M. Hanuš</v>
      </c>
      <c r="J62" s="42">
        <f t="shared" si="3"/>
        <v>1</v>
      </c>
      <c r="K62" s="32">
        <f t="shared" si="4"/>
        <v>1</v>
      </c>
      <c r="L62" s="32">
        <f t="shared" si="10"/>
        <v>0</v>
      </c>
      <c r="M62" s="32">
        <f t="shared" si="9"/>
        <v>0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0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1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4Semančíková Anežka</v>
      </c>
      <c r="C63" s="66">
        <v>4</v>
      </c>
      <c r="D63" s="12" t="s">
        <v>98</v>
      </c>
      <c r="E63" s="87" t="str">
        <f>VLOOKUP($C63,'Seznam aktivit'!$B$3:$H$32,2)</f>
        <v>19.09.2025</v>
      </c>
      <c r="F63" s="88">
        <f>VLOOKUP($C63,'Seznam aktivit'!$B$3:$H$32,4)</f>
        <v>1</v>
      </c>
      <c r="G63" s="89" t="str">
        <f>VLOOKUP($C63,'Seznam aktivit'!$B$3:$H$32,5)</f>
        <v>Projektové vzdělávání / projektová výuka</v>
      </c>
      <c r="H63" s="89" t="str">
        <f>VLOOKUP($C63,'Seznam aktivit'!$B$3:$H$32,6)</f>
        <v>Vzdělávání s využitím nových technologií</v>
      </c>
      <c r="I63" s="90" t="str">
        <f>VLOOKUP($C63,'Seznam aktivit'!$B$3:$H$32,7)</f>
        <v>M. Hanuš</v>
      </c>
      <c r="J63" s="42">
        <f t="shared" si="3"/>
        <v>1</v>
      </c>
      <c r="K63" s="32">
        <f t="shared" si="4"/>
        <v>1</v>
      </c>
      <c r="L63" s="32">
        <f t="shared" si="10"/>
        <v>0</v>
      </c>
      <c r="M63" s="32">
        <f t="shared" si="9"/>
        <v>0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0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1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4Soška Filip</v>
      </c>
      <c r="C64" s="66">
        <v>4</v>
      </c>
      <c r="D64" s="12" t="s">
        <v>99</v>
      </c>
      <c r="E64" s="87" t="str">
        <f>VLOOKUP($C64,'Seznam aktivit'!$B$3:$H$32,2)</f>
        <v>19.09.2025</v>
      </c>
      <c r="F64" s="88">
        <f>VLOOKUP($C64,'Seznam aktivit'!$B$3:$H$32,4)</f>
        <v>1</v>
      </c>
      <c r="G64" s="89" t="str">
        <f>VLOOKUP($C64,'Seznam aktivit'!$B$3:$H$32,5)</f>
        <v>Projektové vzdělávání / projektová výuka</v>
      </c>
      <c r="H64" s="89" t="str">
        <f>VLOOKUP($C64,'Seznam aktivit'!$B$3:$H$32,6)</f>
        <v>Vzdělávání s využitím nových technologií</v>
      </c>
      <c r="I64" s="90" t="str">
        <f>VLOOKUP($C64,'Seznam aktivit'!$B$3:$H$32,7)</f>
        <v>M. Hanuš</v>
      </c>
      <c r="J64" s="42">
        <f t="shared" si="3"/>
        <v>1</v>
      </c>
      <c r="K64" s="32">
        <f t="shared" si="4"/>
        <v>1</v>
      </c>
      <c r="L64" s="32">
        <f t="shared" si="10"/>
        <v>0</v>
      </c>
      <c r="M64" s="32">
        <f t="shared" si="9"/>
        <v>0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0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1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4Trávníčková Anastázie</v>
      </c>
      <c r="C65" s="66">
        <v>4</v>
      </c>
      <c r="D65" s="12" t="s">
        <v>100</v>
      </c>
      <c r="E65" s="87" t="str">
        <f>VLOOKUP($C65,'Seznam aktivit'!$B$3:$H$32,2)</f>
        <v>19.09.2025</v>
      </c>
      <c r="F65" s="88">
        <f>VLOOKUP($C65,'Seznam aktivit'!$B$3:$H$32,4)</f>
        <v>1</v>
      </c>
      <c r="G65" s="89" t="str">
        <f>VLOOKUP($C65,'Seznam aktivit'!$B$3:$H$32,5)</f>
        <v>Projektové vzdělávání / projektová výuka</v>
      </c>
      <c r="H65" s="89" t="str">
        <f>VLOOKUP($C65,'Seznam aktivit'!$B$3:$H$32,6)</f>
        <v>Vzdělávání s využitím nových technologií</v>
      </c>
      <c r="I65" s="90" t="str">
        <f>VLOOKUP($C65,'Seznam aktivit'!$B$3:$H$32,7)</f>
        <v>M. Hanuš</v>
      </c>
      <c r="J65" s="42">
        <f t="shared" si="3"/>
        <v>1</v>
      </c>
      <c r="K65" s="32">
        <f t="shared" si="4"/>
        <v>1</v>
      </c>
      <c r="L65" s="32">
        <f t="shared" si="10"/>
        <v>0</v>
      </c>
      <c r="M65" s="32">
        <f t="shared" si="9"/>
        <v>0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0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1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4Vala Tomáš</v>
      </c>
      <c r="C66" s="66">
        <v>4</v>
      </c>
      <c r="D66" s="12" t="s">
        <v>101</v>
      </c>
      <c r="E66" s="87" t="str">
        <f>VLOOKUP($C66,'Seznam aktivit'!$B$3:$H$32,2)</f>
        <v>19.09.2025</v>
      </c>
      <c r="F66" s="88">
        <f>VLOOKUP($C66,'Seznam aktivit'!$B$3:$H$32,4)</f>
        <v>1</v>
      </c>
      <c r="G66" s="89" t="str">
        <f>VLOOKUP($C66,'Seznam aktivit'!$B$3:$H$32,5)</f>
        <v>Projektové vzdělávání / projektová výuka</v>
      </c>
      <c r="H66" s="89" t="str">
        <f>VLOOKUP($C66,'Seznam aktivit'!$B$3:$H$32,6)</f>
        <v>Vzdělávání s využitím nových technologií</v>
      </c>
      <c r="I66" s="90" t="str">
        <f>VLOOKUP($C66,'Seznam aktivit'!$B$3:$H$32,7)</f>
        <v>M. Hanuš</v>
      </c>
      <c r="J66" s="42">
        <f t="shared" si="3"/>
        <v>1</v>
      </c>
      <c r="K66" s="32">
        <f t="shared" si="4"/>
        <v>1</v>
      </c>
      <c r="L66" s="32">
        <f t="shared" si="10"/>
        <v>0</v>
      </c>
      <c r="M66" s="32">
        <f t="shared" si="9"/>
        <v>0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0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1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5Antala Štěpán</v>
      </c>
      <c r="C67" s="66">
        <v>5</v>
      </c>
      <c r="D67" s="12" t="s">
        <v>82</v>
      </c>
      <c r="E67" s="87" t="str">
        <f>VLOOKUP($C67,'Seznam aktivit'!$B$3:$H$32,2)</f>
        <v>24.09.2025</v>
      </c>
      <c r="F67" s="88">
        <f>VLOOKUP($C67,'Seznam aktivit'!$B$3:$H$32,4)</f>
        <v>1</v>
      </c>
      <c r="G67" s="89" t="str">
        <f>VLOOKUP($C67,'Seznam aktivit'!$B$3:$H$32,5)</f>
        <v>Projektové vzdělávání / projektová výuka</v>
      </c>
      <c r="H67" s="89" t="str">
        <f>VLOOKUP($C67,'Seznam aktivit'!$B$3:$H$32,6)</f>
        <v>Vzdělávání s využitím nových technologií</v>
      </c>
      <c r="I67" s="90" t="str">
        <f>VLOOKUP($C67,'Seznam aktivit'!$B$3:$H$32,7)</f>
        <v>M. Hanuš</v>
      </c>
      <c r="J67" s="42">
        <f t="shared" si="3"/>
        <v>1</v>
      </c>
      <c r="K67" s="32">
        <f t="shared" si="4"/>
        <v>1</v>
      </c>
      <c r="L67" s="32">
        <f t="shared" si="10"/>
        <v>0</v>
      </c>
      <c r="M67" s="32">
        <f t="shared" si="9"/>
        <v>0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0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1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5Benč Patrik</v>
      </c>
      <c r="C68" s="66">
        <v>5</v>
      </c>
      <c r="D68" s="12" t="s">
        <v>83</v>
      </c>
      <c r="E68" s="87" t="str">
        <f>VLOOKUP($C68,'Seznam aktivit'!$B$3:$H$32,2)</f>
        <v>24.09.2025</v>
      </c>
      <c r="F68" s="88">
        <f>VLOOKUP($C68,'Seznam aktivit'!$B$3:$H$32,4)</f>
        <v>1</v>
      </c>
      <c r="G68" s="89" t="str">
        <f>VLOOKUP($C68,'Seznam aktivit'!$B$3:$H$32,5)</f>
        <v>Projektové vzdělávání / projektová výuka</v>
      </c>
      <c r="H68" s="89" t="str">
        <f>VLOOKUP($C68,'Seznam aktivit'!$B$3:$H$32,6)</f>
        <v>Vzdělávání s využitím nových technologií</v>
      </c>
      <c r="I68" s="90" t="str">
        <f>VLOOKUP($C68,'Seznam aktivit'!$B$3:$H$32,7)</f>
        <v>M. Hanuš</v>
      </c>
      <c r="J68" s="42">
        <f t="shared" ref="J68:J131" si="15">IF(F68&lt;&gt;0,1,0)</f>
        <v>1</v>
      </c>
      <c r="K68" s="32">
        <f t="shared" ref="K68:L131" si="16">IF($D68&gt;0,IF($G68=K$2,1,0),0)</f>
        <v>1</v>
      </c>
      <c r="L68" s="32">
        <f t="shared" si="10"/>
        <v>0</v>
      </c>
      <c r="M68" s="32">
        <f t="shared" si="9"/>
        <v>0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0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1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5Boruvka Matyáš</v>
      </c>
      <c r="C69" s="66">
        <v>5</v>
      </c>
      <c r="D69" s="12" t="s">
        <v>84</v>
      </c>
      <c r="E69" s="87" t="str">
        <f>VLOOKUP($C69,'Seznam aktivit'!$B$3:$H$32,2)</f>
        <v>24.09.2025</v>
      </c>
      <c r="F69" s="88">
        <f>VLOOKUP($C69,'Seznam aktivit'!$B$3:$H$32,4)</f>
        <v>1</v>
      </c>
      <c r="G69" s="89" t="str">
        <f>VLOOKUP($C69,'Seznam aktivit'!$B$3:$H$32,5)</f>
        <v>Projektové vzdělávání / projektová výuka</v>
      </c>
      <c r="H69" s="89" t="str">
        <f>VLOOKUP($C69,'Seznam aktivit'!$B$3:$H$32,6)</f>
        <v>Vzdělávání s využitím nových technologií</v>
      </c>
      <c r="I69" s="90" t="str">
        <f>VLOOKUP($C69,'Seznam aktivit'!$B$3:$H$32,7)</f>
        <v>M. Hanuš</v>
      </c>
      <c r="J69" s="42">
        <f t="shared" si="15"/>
        <v>1</v>
      </c>
      <c r="K69" s="32">
        <f t="shared" si="16"/>
        <v>1</v>
      </c>
      <c r="L69" s="32">
        <f t="shared" si="10"/>
        <v>0</v>
      </c>
      <c r="M69" s="32">
        <f t="shared" si="9"/>
        <v>0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0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1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5Brixelová Elen</v>
      </c>
      <c r="C70" s="66">
        <v>5</v>
      </c>
      <c r="D70" s="12" t="s">
        <v>86</v>
      </c>
      <c r="E70" s="87" t="str">
        <f>VLOOKUP($C70,'Seznam aktivit'!$B$3:$H$32,2)</f>
        <v>24.09.2025</v>
      </c>
      <c r="F70" s="88">
        <f>VLOOKUP($C70,'Seznam aktivit'!$B$3:$H$32,4)</f>
        <v>1</v>
      </c>
      <c r="G70" s="89" t="str">
        <f>VLOOKUP($C70,'Seznam aktivit'!$B$3:$H$32,5)</f>
        <v>Projektové vzdělávání / projektová výuka</v>
      </c>
      <c r="H70" s="89" t="str">
        <f>VLOOKUP($C70,'Seznam aktivit'!$B$3:$H$32,6)</f>
        <v>Vzdělávání s využitím nových technologií</v>
      </c>
      <c r="I70" s="90" t="str">
        <f>VLOOKUP($C70,'Seznam aktivit'!$B$3:$H$32,7)</f>
        <v>M. Hanuš</v>
      </c>
      <c r="J70" s="42">
        <f t="shared" si="15"/>
        <v>1</v>
      </c>
      <c r="K70" s="32">
        <f t="shared" si="16"/>
        <v>1</v>
      </c>
      <c r="L70" s="32">
        <f t="shared" si="10"/>
        <v>0</v>
      </c>
      <c r="M70" s="32">
        <f t="shared" si="9"/>
        <v>0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0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1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5Hájková Valérie</v>
      </c>
      <c r="C71" s="66">
        <v>5</v>
      </c>
      <c r="D71" s="12" t="s">
        <v>87</v>
      </c>
      <c r="E71" s="87" t="str">
        <f>VLOOKUP($C71,'Seznam aktivit'!$B$3:$H$32,2)</f>
        <v>24.09.2025</v>
      </c>
      <c r="F71" s="88">
        <f>VLOOKUP($C71,'Seznam aktivit'!$B$3:$H$32,4)</f>
        <v>1</v>
      </c>
      <c r="G71" s="89" t="str">
        <f>VLOOKUP($C71,'Seznam aktivit'!$B$3:$H$32,5)</f>
        <v>Projektové vzdělávání / projektová výuka</v>
      </c>
      <c r="H71" s="89" t="str">
        <f>VLOOKUP($C71,'Seznam aktivit'!$B$3:$H$32,6)</f>
        <v>Vzdělávání s využitím nových technologií</v>
      </c>
      <c r="I71" s="90" t="str">
        <f>VLOOKUP($C71,'Seznam aktivit'!$B$3:$H$32,7)</f>
        <v>M. Hanuš</v>
      </c>
      <c r="J71" s="42">
        <f t="shared" si="15"/>
        <v>1</v>
      </c>
      <c r="K71" s="32">
        <f t="shared" si="16"/>
        <v>1</v>
      </c>
      <c r="L71" s="32">
        <f t="shared" si="10"/>
        <v>0</v>
      </c>
      <c r="M71" s="32">
        <f t="shared" si="9"/>
        <v>0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0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1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5Chudý Dominik</v>
      </c>
      <c r="C72" s="66">
        <v>5</v>
      </c>
      <c r="D72" s="12" t="s">
        <v>88</v>
      </c>
      <c r="E72" s="87" t="str">
        <f>VLOOKUP($C72,'Seznam aktivit'!$B$3:$H$32,2)</f>
        <v>24.09.2025</v>
      </c>
      <c r="F72" s="88">
        <f>VLOOKUP($C72,'Seznam aktivit'!$B$3:$H$32,4)</f>
        <v>1</v>
      </c>
      <c r="G72" s="89" t="str">
        <f>VLOOKUP($C72,'Seznam aktivit'!$B$3:$H$32,5)</f>
        <v>Projektové vzdělávání / projektová výuka</v>
      </c>
      <c r="H72" s="89" t="str">
        <f>VLOOKUP($C72,'Seznam aktivit'!$B$3:$H$32,6)</f>
        <v>Vzdělávání s využitím nových technologií</v>
      </c>
      <c r="I72" s="90" t="str">
        <f>VLOOKUP($C72,'Seznam aktivit'!$B$3:$H$32,7)</f>
        <v>M. Hanuš</v>
      </c>
      <c r="J72" s="42">
        <f t="shared" si="15"/>
        <v>1</v>
      </c>
      <c r="K72" s="32">
        <f t="shared" si="16"/>
        <v>1</v>
      </c>
      <c r="L72" s="32">
        <f t="shared" si="10"/>
        <v>0</v>
      </c>
      <c r="M72" s="32">
        <f t="shared" si="9"/>
        <v>0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0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1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5Ježková Vendula</v>
      </c>
      <c r="C73" s="66">
        <v>5</v>
      </c>
      <c r="D73" s="12" t="s">
        <v>89</v>
      </c>
      <c r="E73" s="87" t="str">
        <f>VLOOKUP($C73,'Seznam aktivit'!$B$3:$H$32,2)</f>
        <v>24.09.2025</v>
      </c>
      <c r="F73" s="88">
        <f>VLOOKUP($C73,'Seznam aktivit'!$B$3:$H$32,4)</f>
        <v>1</v>
      </c>
      <c r="G73" s="89" t="str">
        <f>VLOOKUP($C73,'Seznam aktivit'!$B$3:$H$32,5)</f>
        <v>Projektové vzdělávání / projektová výuka</v>
      </c>
      <c r="H73" s="89" t="str">
        <f>VLOOKUP($C73,'Seznam aktivit'!$B$3:$H$32,6)</f>
        <v>Vzdělávání s využitím nových technologií</v>
      </c>
      <c r="I73" s="90" t="str">
        <f>VLOOKUP($C73,'Seznam aktivit'!$B$3:$H$32,7)</f>
        <v>M. Hanuš</v>
      </c>
      <c r="J73" s="42">
        <f t="shared" si="15"/>
        <v>1</v>
      </c>
      <c r="K73" s="32">
        <f t="shared" si="16"/>
        <v>1</v>
      </c>
      <c r="L73" s="32">
        <f t="shared" si="10"/>
        <v>0</v>
      </c>
      <c r="M73" s="32">
        <f t="shared" si="9"/>
        <v>0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0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1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5Juráň Jindřich</v>
      </c>
      <c r="C74" s="66">
        <v>5</v>
      </c>
      <c r="D74" s="12" t="s">
        <v>90</v>
      </c>
      <c r="E74" s="87" t="str">
        <f>VLOOKUP($C74,'Seznam aktivit'!$B$3:$H$32,2)</f>
        <v>24.09.2025</v>
      </c>
      <c r="F74" s="88">
        <f>VLOOKUP($C74,'Seznam aktivit'!$B$3:$H$32,4)</f>
        <v>1</v>
      </c>
      <c r="G74" s="89" t="str">
        <f>VLOOKUP($C74,'Seznam aktivit'!$B$3:$H$32,5)</f>
        <v>Projektové vzdělávání / projektová výuka</v>
      </c>
      <c r="H74" s="89" t="str">
        <f>VLOOKUP($C74,'Seznam aktivit'!$B$3:$H$32,6)</f>
        <v>Vzdělávání s využitím nových technologií</v>
      </c>
      <c r="I74" s="90" t="str">
        <f>VLOOKUP($C74,'Seznam aktivit'!$B$3:$H$32,7)</f>
        <v>M. Hanuš</v>
      </c>
      <c r="J74" s="42">
        <f t="shared" si="15"/>
        <v>1</v>
      </c>
      <c r="K74" s="32">
        <f t="shared" si="16"/>
        <v>1</v>
      </c>
      <c r="L74" s="32">
        <f t="shared" si="10"/>
        <v>0</v>
      </c>
      <c r="M74" s="32">
        <f t="shared" si="9"/>
        <v>0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0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1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5Krywdová Eliška</v>
      </c>
      <c r="C75" s="66">
        <v>5</v>
      </c>
      <c r="D75" s="12" t="s">
        <v>91</v>
      </c>
      <c r="E75" s="87" t="str">
        <f>VLOOKUP($C75,'Seznam aktivit'!$B$3:$H$32,2)</f>
        <v>24.09.2025</v>
      </c>
      <c r="F75" s="88">
        <f>VLOOKUP($C75,'Seznam aktivit'!$B$3:$H$32,4)</f>
        <v>1</v>
      </c>
      <c r="G75" s="89" t="str">
        <f>VLOOKUP($C75,'Seznam aktivit'!$B$3:$H$32,5)</f>
        <v>Projektové vzdělávání / projektová výuka</v>
      </c>
      <c r="H75" s="89" t="str">
        <f>VLOOKUP($C75,'Seznam aktivit'!$B$3:$H$32,6)</f>
        <v>Vzdělávání s využitím nových technologií</v>
      </c>
      <c r="I75" s="90" t="str">
        <f>VLOOKUP($C75,'Seznam aktivit'!$B$3:$H$32,7)</f>
        <v>M. Hanuš</v>
      </c>
      <c r="J75" s="42">
        <f t="shared" si="15"/>
        <v>1</v>
      </c>
      <c r="K75" s="32">
        <f t="shared" si="16"/>
        <v>1</v>
      </c>
      <c r="L75" s="32">
        <f t="shared" si="10"/>
        <v>0</v>
      </c>
      <c r="M75" s="32">
        <f t="shared" si="9"/>
        <v>0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0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1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5Marko Radek</v>
      </c>
      <c r="C76" s="66">
        <v>5</v>
      </c>
      <c r="D76" s="12" t="s">
        <v>92</v>
      </c>
      <c r="E76" s="87" t="str">
        <f>VLOOKUP($C76,'Seznam aktivit'!$B$3:$H$32,2)</f>
        <v>24.09.2025</v>
      </c>
      <c r="F76" s="88">
        <f>VLOOKUP($C76,'Seznam aktivit'!$B$3:$H$32,4)</f>
        <v>1</v>
      </c>
      <c r="G76" s="89" t="str">
        <f>VLOOKUP($C76,'Seznam aktivit'!$B$3:$H$32,5)</f>
        <v>Projektové vzdělávání / projektová výuka</v>
      </c>
      <c r="H76" s="89" t="str">
        <f>VLOOKUP($C76,'Seznam aktivit'!$B$3:$H$32,6)</f>
        <v>Vzdělávání s využitím nových technologií</v>
      </c>
      <c r="I76" s="90" t="str">
        <f>VLOOKUP($C76,'Seznam aktivit'!$B$3:$H$32,7)</f>
        <v>M. Hanuš</v>
      </c>
      <c r="J76" s="42">
        <f t="shared" si="15"/>
        <v>1</v>
      </c>
      <c r="K76" s="32">
        <f t="shared" si="16"/>
        <v>1</v>
      </c>
      <c r="L76" s="32">
        <f t="shared" si="10"/>
        <v>0</v>
      </c>
      <c r="M76" s="32">
        <f t="shared" si="9"/>
        <v>0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0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1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5Ondříšek Václav</v>
      </c>
      <c r="C77" s="66">
        <v>5</v>
      </c>
      <c r="D77" s="12" t="s">
        <v>93</v>
      </c>
      <c r="E77" s="87" t="str">
        <f>VLOOKUP($C77,'Seznam aktivit'!$B$3:$H$32,2)</f>
        <v>24.09.2025</v>
      </c>
      <c r="F77" s="88">
        <f>VLOOKUP($C77,'Seznam aktivit'!$B$3:$H$32,4)</f>
        <v>1</v>
      </c>
      <c r="G77" s="89" t="str">
        <f>VLOOKUP($C77,'Seznam aktivit'!$B$3:$H$32,5)</f>
        <v>Projektové vzdělávání / projektová výuka</v>
      </c>
      <c r="H77" s="89" t="str">
        <f>VLOOKUP($C77,'Seznam aktivit'!$B$3:$H$32,6)</f>
        <v>Vzdělávání s využitím nových technologií</v>
      </c>
      <c r="I77" s="90" t="str">
        <f>VLOOKUP($C77,'Seznam aktivit'!$B$3:$H$32,7)</f>
        <v>M. Hanuš</v>
      </c>
      <c r="J77" s="42">
        <f t="shared" si="15"/>
        <v>1</v>
      </c>
      <c r="K77" s="32">
        <f t="shared" si="16"/>
        <v>1</v>
      </c>
      <c r="L77" s="32">
        <f t="shared" si="10"/>
        <v>0</v>
      </c>
      <c r="M77" s="32">
        <f t="shared" si="9"/>
        <v>0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0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1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5Patrman Ondřej</v>
      </c>
      <c r="C78" s="66">
        <v>5</v>
      </c>
      <c r="D78" s="12" t="s">
        <v>94</v>
      </c>
      <c r="E78" s="87" t="str">
        <f>VLOOKUP($C78,'Seznam aktivit'!$B$3:$H$32,2)</f>
        <v>24.09.2025</v>
      </c>
      <c r="F78" s="88">
        <f>VLOOKUP($C78,'Seznam aktivit'!$B$3:$H$32,4)</f>
        <v>1</v>
      </c>
      <c r="G78" s="89" t="str">
        <f>VLOOKUP($C78,'Seznam aktivit'!$B$3:$H$32,5)</f>
        <v>Projektové vzdělávání / projektová výuka</v>
      </c>
      <c r="H78" s="89" t="str">
        <f>VLOOKUP($C78,'Seznam aktivit'!$B$3:$H$32,6)</f>
        <v>Vzdělávání s využitím nových technologií</v>
      </c>
      <c r="I78" s="90" t="str">
        <f>VLOOKUP($C78,'Seznam aktivit'!$B$3:$H$32,7)</f>
        <v>M. Hanuš</v>
      </c>
      <c r="J78" s="42">
        <f t="shared" si="15"/>
        <v>1</v>
      </c>
      <c r="K78" s="32">
        <f t="shared" si="16"/>
        <v>1</v>
      </c>
      <c r="L78" s="32">
        <f t="shared" si="10"/>
        <v>0</v>
      </c>
      <c r="M78" s="32">
        <f t="shared" si="9"/>
        <v>0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0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1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5Polák Filip</v>
      </c>
      <c r="C79" s="66">
        <v>5</v>
      </c>
      <c r="D79" s="12" t="s">
        <v>95</v>
      </c>
      <c r="E79" s="87" t="str">
        <f>VLOOKUP($C79,'Seznam aktivit'!$B$3:$H$32,2)</f>
        <v>24.09.2025</v>
      </c>
      <c r="F79" s="88">
        <f>VLOOKUP($C79,'Seznam aktivit'!$B$3:$H$32,4)</f>
        <v>1</v>
      </c>
      <c r="G79" s="89" t="str">
        <f>VLOOKUP($C79,'Seznam aktivit'!$B$3:$H$32,5)</f>
        <v>Projektové vzdělávání / projektová výuka</v>
      </c>
      <c r="H79" s="89" t="str">
        <f>VLOOKUP($C79,'Seznam aktivit'!$B$3:$H$32,6)</f>
        <v>Vzdělávání s využitím nových technologií</v>
      </c>
      <c r="I79" s="90" t="str">
        <f>VLOOKUP($C79,'Seznam aktivit'!$B$3:$H$32,7)</f>
        <v>M. Hanuš</v>
      </c>
      <c r="J79" s="42">
        <f t="shared" si="15"/>
        <v>1</v>
      </c>
      <c r="K79" s="32">
        <f t="shared" si="16"/>
        <v>1</v>
      </c>
      <c r="L79" s="32">
        <f t="shared" si="10"/>
        <v>0</v>
      </c>
      <c r="M79" s="32">
        <f t="shared" si="9"/>
        <v>0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0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1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5Poliaková Julie</v>
      </c>
      <c r="C80" s="66">
        <v>5</v>
      </c>
      <c r="D80" s="12" t="s">
        <v>96</v>
      </c>
      <c r="E80" s="87" t="str">
        <f>VLOOKUP($C80,'Seznam aktivit'!$B$3:$H$32,2)</f>
        <v>24.09.2025</v>
      </c>
      <c r="F80" s="88">
        <f>VLOOKUP($C80,'Seznam aktivit'!$B$3:$H$32,4)</f>
        <v>1</v>
      </c>
      <c r="G80" s="89" t="str">
        <f>VLOOKUP($C80,'Seznam aktivit'!$B$3:$H$32,5)</f>
        <v>Projektové vzdělávání / projektová výuka</v>
      </c>
      <c r="H80" s="89" t="str">
        <f>VLOOKUP($C80,'Seznam aktivit'!$B$3:$H$32,6)</f>
        <v>Vzdělávání s využitím nových technologií</v>
      </c>
      <c r="I80" s="90" t="str">
        <f>VLOOKUP($C80,'Seznam aktivit'!$B$3:$H$32,7)</f>
        <v>M. Hanuš</v>
      </c>
      <c r="J80" s="42">
        <f t="shared" si="15"/>
        <v>1</v>
      </c>
      <c r="K80" s="32">
        <f t="shared" si="16"/>
        <v>1</v>
      </c>
      <c r="L80" s="32">
        <f t="shared" si="10"/>
        <v>0</v>
      </c>
      <c r="M80" s="32">
        <f t="shared" si="9"/>
        <v>0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0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1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5Přecechtěl František</v>
      </c>
      <c r="C81" s="66">
        <v>5</v>
      </c>
      <c r="D81" s="12" t="s">
        <v>97</v>
      </c>
      <c r="E81" s="87" t="str">
        <f>VLOOKUP($C81,'Seznam aktivit'!$B$3:$H$32,2)</f>
        <v>24.09.2025</v>
      </c>
      <c r="F81" s="88">
        <f>VLOOKUP($C81,'Seznam aktivit'!$B$3:$H$32,4)</f>
        <v>1</v>
      </c>
      <c r="G81" s="89" t="str">
        <f>VLOOKUP($C81,'Seznam aktivit'!$B$3:$H$32,5)</f>
        <v>Projektové vzdělávání / projektová výuka</v>
      </c>
      <c r="H81" s="89" t="str">
        <f>VLOOKUP($C81,'Seznam aktivit'!$B$3:$H$32,6)</f>
        <v>Vzdělávání s využitím nových technologií</v>
      </c>
      <c r="I81" s="90" t="str">
        <f>VLOOKUP($C81,'Seznam aktivit'!$B$3:$H$32,7)</f>
        <v>M. Hanuš</v>
      </c>
      <c r="J81" s="42">
        <f t="shared" si="15"/>
        <v>1</v>
      </c>
      <c r="K81" s="32">
        <f t="shared" si="16"/>
        <v>1</v>
      </c>
      <c r="L81" s="32">
        <f t="shared" si="10"/>
        <v>0</v>
      </c>
      <c r="M81" s="32">
        <f t="shared" si="9"/>
        <v>0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0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1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5Semančíková Anežka</v>
      </c>
      <c r="C82" s="66">
        <v>5</v>
      </c>
      <c r="D82" s="12" t="s">
        <v>98</v>
      </c>
      <c r="E82" s="87" t="str">
        <f>VLOOKUP($C82,'Seznam aktivit'!$B$3:$H$32,2)</f>
        <v>24.09.2025</v>
      </c>
      <c r="F82" s="88">
        <f>VLOOKUP($C82,'Seznam aktivit'!$B$3:$H$32,4)</f>
        <v>1</v>
      </c>
      <c r="G82" s="89" t="str">
        <f>VLOOKUP($C82,'Seznam aktivit'!$B$3:$H$32,5)</f>
        <v>Projektové vzdělávání / projektová výuka</v>
      </c>
      <c r="H82" s="89" t="str">
        <f>VLOOKUP($C82,'Seznam aktivit'!$B$3:$H$32,6)</f>
        <v>Vzdělávání s využitím nových technologií</v>
      </c>
      <c r="I82" s="90" t="str">
        <f>VLOOKUP($C82,'Seznam aktivit'!$B$3:$H$32,7)</f>
        <v>M. Hanuš</v>
      </c>
      <c r="J82" s="42">
        <f t="shared" si="15"/>
        <v>1</v>
      </c>
      <c r="K82" s="32">
        <f t="shared" si="16"/>
        <v>1</v>
      </c>
      <c r="L82" s="32">
        <f t="shared" si="10"/>
        <v>0</v>
      </c>
      <c r="M82" s="32">
        <f t="shared" si="9"/>
        <v>0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0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1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5Trávníčková Anastázie</v>
      </c>
      <c r="C83" s="66">
        <v>5</v>
      </c>
      <c r="D83" s="12" t="s">
        <v>100</v>
      </c>
      <c r="E83" s="87" t="str">
        <f>VLOOKUP($C83,'Seznam aktivit'!$B$3:$H$32,2)</f>
        <v>24.09.2025</v>
      </c>
      <c r="F83" s="88">
        <f>VLOOKUP($C83,'Seznam aktivit'!$B$3:$H$32,4)</f>
        <v>1</v>
      </c>
      <c r="G83" s="89" t="str">
        <f>VLOOKUP($C83,'Seznam aktivit'!$B$3:$H$32,5)</f>
        <v>Projektové vzdělávání / projektová výuka</v>
      </c>
      <c r="H83" s="89" t="str">
        <f>VLOOKUP($C83,'Seznam aktivit'!$B$3:$H$32,6)</f>
        <v>Vzdělávání s využitím nových technologií</v>
      </c>
      <c r="I83" s="90" t="str">
        <f>VLOOKUP($C83,'Seznam aktivit'!$B$3:$H$32,7)</f>
        <v>M. Hanuš</v>
      </c>
      <c r="J83" s="42">
        <f t="shared" si="15"/>
        <v>1</v>
      </c>
      <c r="K83" s="32">
        <f t="shared" si="16"/>
        <v>1</v>
      </c>
      <c r="L83" s="32">
        <f t="shared" si="10"/>
        <v>0</v>
      </c>
      <c r="M83" s="32">
        <f t="shared" si="9"/>
        <v>0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0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1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6Antala Štěpán</v>
      </c>
      <c r="C84" s="66">
        <v>6</v>
      </c>
      <c r="D84" s="12" t="s">
        <v>82</v>
      </c>
      <c r="E84" s="87" t="str">
        <f>VLOOKUP($C84,'Seznam aktivit'!$B$3:$H$32,2)</f>
        <v>26.09.2025</v>
      </c>
      <c r="F84" s="88">
        <f>VLOOKUP($C84,'Seznam aktivit'!$B$3:$H$32,4)</f>
        <v>1</v>
      </c>
      <c r="G84" s="89" t="str">
        <f>VLOOKUP($C84,'Seznam aktivit'!$B$3:$H$32,5)</f>
        <v>Projektové vzdělávání / projektová výuka</v>
      </c>
      <c r="H84" s="89" t="str">
        <f>VLOOKUP($C84,'Seznam aktivit'!$B$3:$H$32,6)</f>
        <v>Vzdělávání s využitím nových technologií</v>
      </c>
      <c r="I84" s="90" t="str">
        <f>VLOOKUP($C84,'Seznam aktivit'!$B$3:$H$32,7)</f>
        <v>M. Hanuš</v>
      </c>
      <c r="J84" s="42">
        <f t="shared" si="15"/>
        <v>1</v>
      </c>
      <c r="K84" s="32">
        <f t="shared" si="16"/>
        <v>1</v>
      </c>
      <c r="L84" s="32">
        <f t="shared" si="10"/>
        <v>0</v>
      </c>
      <c r="M84" s="32">
        <f t="shared" si="9"/>
        <v>0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0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1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6Benč Patrik</v>
      </c>
      <c r="C85" s="66">
        <v>6</v>
      </c>
      <c r="D85" s="12" t="s">
        <v>83</v>
      </c>
      <c r="E85" s="87" t="str">
        <f>VLOOKUP($C85,'Seznam aktivit'!$B$3:$H$32,2)</f>
        <v>26.09.2025</v>
      </c>
      <c r="F85" s="88">
        <f>VLOOKUP($C85,'Seznam aktivit'!$B$3:$H$32,4)</f>
        <v>1</v>
      </c>
      <c r="G85" s="89" t="str">
        <f>VLOOKUP($C85,'Seznam aktivit'!$B$3:$H$32,5)</f>
        <v>Projektové vzdělávání / projektová výuka</v>
      </c>
      <c r="H85" s="89" t="str">
        <f>VLOOKUP($C85,'Seznam aktivit'!$B$3:$H$32,6)</f>
        <v>Vzdělávání s využitím nových technologií</v>
      </c>
      <c r="I85" s="90" t="str">
        <f>VLOOKUP($C85,'Seznam aktivit'!$B$3:$H$32,7)</f>
        <v>M. Hanuš</v>
      </c>
      <c r="J85" s="42">
        <f t="shared" si="15"/>
        <v>1</v>
      </c>
      <c r="K85" s="32">
        <f t="shared" si="16"/>
        <v>1</v>
      </c>
      <c r="L85" s="32">
        <f t="shared" si="10"/>
        <v>0</v>
      </c>
      <c r="M85" s="32">
        <f t="shared" si="9"/>
        <v>0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0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1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6Boruvka Matyáš</v>
      </c>
      <c r="C86" s="66">
        <v>6</v>
      </c>
      <c r="D86" s="12" t="s">
        <v>84</v>
      </c>
      <c r="E86" s="87" t="str">
        <f>VLOOKUP($C86,'Seznam aktivit'!$B$3:$H$32,2)</f>
        <v>26.09.2025</v>
      </c>
      <c r="F86" s="88">
        <f>VLOOKUP($C86,'Seznam aktivit'!$B$3:$H$32,4)</f>
        <v>1</v>
      </c>
      <c r="G86" s="89" t="str">
        <f>VLOOKUP($C86,'Seznam aktivit'!$B$3:$H$32,5)</f>
        <v>Projektové vzdělávání / projektová výuka</v>
      </c>
      <c r="H86" s="89" t="str">
        <f>VLOOKUP($C86,'Seznam aktivit'!$B$3:$H$32,6)</f>
        <v>Vzdělávání s využitím nových technologií</v>
      </c>
      <c r="I86" s="90" t="str">
        <f>VLOOKUP($C86,'Seznam aktivit'!$B$3:$H$32,7)</f>
        <v>M. Hanuš</v>
      </c>
      <c r="J86" s="42">
        <f t="shared" si="15"/>
        <v>1</v>
      </c>
      <c r="K86" s="32">
        <f t="shared" si="16"/>
        <v>1</v>
      </c>
      <c r="L86" s="32">
        <f t="shared" si="10"/>
        <v>0</v>
      </c>
      <c r="M86" s="32">
        <f t="shared" si="9"/>
        <v>0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0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1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6Brixelová Elen</v>
      </c>
      <c r="C87" s="66">
        <v>6</v>
      </c>
      <c r="D87" s="12" t="s">
        <v>86</v>
      </c>
      <c r="E87" s="87" t="str">
        <f>VLOOKUP($C87,'Seznam aktivit'!$B$3:$H$32,2)</f>
        <v>26.09.2025</v>
      </c>
      <c r="F87" s="88">
        <f>VLOOKUP($C87,'Seznam aktivit'!$B$3:$H$32,4)</f>
        <v>1</v>
      </c>
      <c r="G87" s="89" t="str">
        <f>VLOOKUP($C87,'Seznam aktivit'!$B$3:$H$32,5)</f>
        <v>Projektové vzdělávání / projektová výuka</v>
      </c>
      <c r="H87" s="89" t="str">
        <f>VLOOKUP($C87,'Seznam aktivit'!$B$3:$H$32,6)</f>
        <v>Vzdělávání s využitím nových technologií</v>
      </c>
      <c r="I87" s="90" t="str">
        <f>VLOOKUP($C87,'Seznam aktivit'!$B$3:$H$32,7)</f>
        <v>M. Hanuš</v>
      </c>
      <c r="J87" s="42">
        <f t="shared" si="15"/>
        <v>1</v>
      </c>
      <c r="K87" s="32">
        <f t="shared" si="16"/>
        <v>1</v>
      </c>
      <c r="L87" s="32">
        <f t="shared" si="10"/>
        <v>0</v>
      </c>
      <c r="M87" s="32">
        <f t="shared" si="9"/>
        <v>0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0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1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6Hájková Valérie</v>
      </c>
      <c r="C88" s="66">
        <v>6</v>
      </c>
      <c r="D88" s="12" t="s">
        <v>87</v>
      </c>
      <c r="E88" s="87" t="str">
        <f>VLOOKUP($C88,'Seznam aktivit'!$B$3:$H$32,2)</f>
        <v>26.09.2025</v>
      </c>
      <c r="F88" s="88">
        <f>VLOOKUP($C88,'Seznam aktivit'!$B$3:$H$32,4)</f>
        <v>1</v>
      </c>
      <c r="G88" s="89" t="str">
        <f>VLOOKUP($C88,'Seznam aktivit'!$B$3:$H$32,5)</f>
        <v>Projektové vzdělávání / projektová výuka</v>
      </c>
      <c r="H88" s="89" t="str">
        <f>VLOOKUP($C88,'Seznam aktivit'!$B$3:$H$32,6)</f>
        <v>Vzdělávání s využitím nových technologií</v>
      </c>
      <c r="I88" s="90" t="str">
        <f>VLOOKUP($C88,'Seznam aktivit'!$B$3:$H$32,7)</f>
        <v>M. Hanuš</v>
      </c>
      <c r="J88" s="42">
        <f t="shared" si="15"/>
        <v>1</v>
      </c>
      <c r="K88" s="32">
        <f t="shared" si="16"/>
        <v>1</v>
      </c>
      <c r="L88" s="32">
        <f t="shared" si="10"/>
        <v>0</v>
      </c>
      <c r="M88" s="32">
        <f t="shared" si="9"/>
        <v>0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0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1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6Chudý Dominik</v>
      </c>
      <c r="C89" s="66">
        <v>6</v>
      </c>
      <c r="D89" s="12" t="s">
        <v>88</v>
      </c>
      <c r="E89" s="87" t="str">
        <f>VLOOKUP($C89,'Seznam aktivit'!$B$3:$H$32,2)</f>
        <v>26.09.2025</v>
      </c>
      <c r="F89" s="88">
        <f>VLOOKUP($C89,'Seznam aktivit'!$B$3:$H$32,4)</f>
        <v>1</v>
      </c>
      <c r="G89" s="89" t="str">
        <f>VLOOKUP($C89,'Seznam aktivit'!$B$3:$H$32,5)</f>
        <v>Projektové vzdělávání / projektová výuka</v>
      </c>
      <c r="H89" s="89" t="str">
        <f>VLOOKUP($C89,'Seznam aktivit'!$B$3:$H$32,6)</f>
        <v>Vzdělávání s využitím nových technologií</v>
      </c>
      <c r="I89" s="90" t="str">
        <f>VLOOKUP($C89,'Seznam aktivit'!$B$3:$H$32,7)</f>
        <v>M. Hanuš</v>
      </c>
      <c r="J89" s="42">
        <f t="shared" si="15"/>
        <v>1</v>
      </c>
      <c r="K89" s="32">
        <f t="shared" si="16"/>
        <v>1</v>
      </c>
      <c r="L89" s="32">
        <f t="shared" si="10"/>
        <v>0</v>
      </c>
      <c r="M89" s="32">
        <f t="shared" si="9"/>
        <v>0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0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1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6Ježková Vendula</v>
      </c>
      <c r="C90" s="66">
        <v>6</v>
      </c>
      <c r="D90" s="12" t="s">
        <v>89</v>
      </c>
      <c r="E90" s="87" t="str">
        <f>VLOOKUP($C90,'Seznam aktivit'!$B$3:$H$32,2)</f>
        <v>26.09.2025</v>
      </c>
      <c r="F90" s="88">
        <f>VLOOKUP($C90,'Seznam aktivit'!$B$3:$H$32,4)</f>
        <v>1</v>
      </c>
      <c r="G90" s="89" t="str">
        <f>VLOOKUP($C90,'Seznam aktivit'!$B$3:$H$32,5)</f>
        <v>Projektové vzdělávání / projektová výuka</v>
      </c>
      <c r="H90" s="89" t="str">
        <f>VLOOKUP($C90,'Seznam aktivit'!$B$3:$H$32,6)</f>
        <v>Vzdělávání s využitím nových technologií</v>
      </c>
      <c r="I90" s="90" t="str">
        <f>VLOOKUP($C90,'Seznam aktivit'!$B$3:$H$32,7)</f>
        <v>M. Hanuš</v>
      </c>
      <c r="J90" s="42">
        <f t="shared" si="15"/>
        <v>1</v>
      </c>
      <c r="K90" s="32">
        <f t="shared" si="16"/>
        <v>1</v>
      </c>
      <c r="L90" s="32">
        <f t="shared" si="10"/>
        <v>0</v>
      </c>
      <c r="M90" s="32">
        <f t="shared" si="9"/>
        <v>0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0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1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6Juráň Jindřich</v>
      </c>
      <c r="C91" s="66">
        <v>6</v>
      </c>
      <c r="D91" s="12" t="s">
        <v>90</v>
      </c>
      <c r="E91" s="87" t="str">
        <f>VLOOKUP($C91,'Seznam aktivit'!$B$3:$H$32,2)</f>
        <v>26.09.2025</v>
      </c>
      <c r="F91" s="88">
        <f>VLOOKUP($C91,'Seznam aktivit'!$B$3:$H$32,4)</f>
        <v>1</v>
      </c>
      <c r="G91" s="89" t="str">
        <f>VLOOKUP($C91,'Seznam aktivit'!$B$3:$H$32,5)</f>
        <v>Projektové vzdělávání / projektová výuka</v>
      </c>
      <c r="H91" s="89" t="str">
        <f>VLOOKUP($C91,'Seznam aktivit'!$B$3:$H$32,6)</f>
        <v>Vzdělávání s využitím nových technologií</v>
      </c>
      <c r="I91" s="90" t="str">
        <f>VLOOKUP($C91,'Seznam aktivit'!$B$3:$H$32,7)</f>
        <v>M. Hanuš</v>
      </c>
      <c r="J91" s="42">
        <f t="shared" si="15"/>
        <v>1</v>
      </c>
      <c r="K91" s="32">
        <f t="shared" si="16"/>
        <v>1</v>
      </c>
      <c r="L91" s="32">
        <f t="shared" si="10"/>
        <v>0</v>
      </c>
      <c r="M91" s="32">
        <f t="shared" si="9"/>
        <v>0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0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1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6Krywdová Eliška</v>
      </c>
      <c r="C92" s="66">
        <v>6</v>
      </c>
      <c r="D92" s="12" t="s">
        <v>91</v>
      </c>
      <c r="E92" s="87" t="str">
        <f>VLOOKUP($C92,'Seznam aktivit'!$B$3:$H$32,2)</f>
        <v>26.09.2025</v>
      </c>
      <c r="F92" s="88">
        <f>VLOOKUP($C92,'Seznam aktivit'!$B$3:$H$32,4)</f>
        <v>1</v>
      </c>
      <c r="G92" s="89" t="str">
        <f>VLOOKUP($C92,'Seznam aktivit'!$B$3:$H$32,5)</f>
        <v>Projektové vzdělávání / projektová výuka</v>
      </c>
      <c r="H92" s="89" t="str">
        <f>VLOOKUP($C92,'Seznam aktivit'!$B$3:$H$32,6)</f>
        <v>Vzdělávání s využitím nových technologií</v>
      </c>
      <c r="I92" s="90" t="str">
        <f>VLOOKUP($C92,'Seznam aktivit'!$B$3:$H$32,7)</f>
        <v>M. Hanuš</v>
      </c>
      <c r="J92" s="42">
        <f t="shared" si="15"/>
        <v>1</v>
      </c>
      <c r="K92" s="32">
        <f t="shared" si="16"/>
        <v>1</v>
      </c>
      <c r="L92" s="32">
        <f t="shared" si="10"/>
        <v>0</v>
      </c>
      <c r="M92" s="32">
        <f t="shared" si="9"/>
        <v>0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0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1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6Marko Radek</v>
      </c>
      <c r="C93" s="66">
        <v>6</v>
      </c>
      <c r="D93" s="12" t="s">
        <v>92</v>
      </c>
      <c r="E93" s="87" t="str">
        <f>VLOOKUP($C93,'Seznam aktivit'!$B$3:$H$32,2)</f>
        <v>26.09.2025</v>
      </c>
      <c r="F93" s="88">
        <f>VLOOKUP($C93,'Seznam aktivit'!$B$3:$H$32,4)</f>
        <v>1</v>
      </c>
      <c r="G93" s="89" t="str">
        <f>VLOOKUP($C93,'Seznam aktivit'!$B$3:$H$32,5)</f>
        <v>Projektové vzdělávání / projektová výuka</v>
      </c>
      <c r="H93" s="89" t="str">
        <f>VLOOKUP($C93,'Seznam aktivit'!$B$3:$H$32,6)</f>
        <v>Vzdělávání s využitím nových technologií</v>
      </c>
      <c r="I93" s="90" t="str">
        <f>VLOOKUP($C93,'Seznam aktivit'!$B$3:$H$32,7)</f>
        <v>M. Hanuš</v>
      </c>
      <c r="J93" s="42">
        <f t="shared" si="15"/>
        <v>1</v>
      </c>
      <c r="K93" s="32">
        <f t="shared" si="16"/>
        <v>1</v>
      </c>
      <c r="L93" s="32">
        <f t="shared" si="10"/>
        <v>0</v>
      </c>
      <c r="M93" s="32">
        <f t="shared" si="9"/>
        <v>0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0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1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6Ondříšek Václav</v>
      </c>
      <c r="C94" s="66">
        <v>6</v>
      </c>
      <c r="D94" s="12" t="s">
        <v>93</v>
      </c>
      <c r="E94" s="87" t="str">
        <f>VLOOKUP($C94,'Seznam aktivit'!$B$3:$H$32,2)</f>
        <v>26.09.2025</v>
      </c>
      <c r="F94" s="88">
        <f>VLOOKUP($C94,'Seznam aktivit'!$B$3:$H$32,4)</f>
        <v>1</v>
      </c>
      <c r="G94" s="89" t="str">
        <f>VLOOKUP($C94,'Seznam aktivit'!$B$3:$H$32,5)</f>
        <v>Projektové vzdělávání / projektová výuka</v>
      </c>
      <c r="H94" s="89" t="str">
        <f>VLOOKUP($C94,'Seznam aktivit'!$B$3:$H$32,6)</f>
        <v>Vzdělávání s využitím nových technologií</v>
      </c>
      <c r="I94" s="90" t="str">
        <f>VLOOKUP($C94,'Seznam aktivit'!$B$3:$H$32,7)</f>
        <v>M. Hanuš</v>
      </c>
      <c r="J94" s="42">
        <f t="shared" si="15"/>
        <v>1</v>
      </c>
      <c r="K94" s="32">
        <f t="shared" si="16"/>
        <v>1</v>
      </c>
      <c r="L94" s="32">
        <f t="shared" si="10"/>
        <v>0</v>
      </c>
      <c r="M94" s="32">
        <f t="shared" si="9"/>
        <v>0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0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1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6Patrman Ondřej</v>
      </c>
      <c r="C95" s="66">
        <v>6</v>
      </c>
      <c r="D95" s="12" t="s">
        <v>94</v>
      </c>
      <c r="E95" s="87" t="str">
        <f>VLOOKUP($C95,'Seznam aktivit'!$B$3:$H$32,2)</f>
        <v>26.09.2025</v>
      </c>
      <c r="F95" s="88">
        <f>VLOOKUP($C95,'Seznam aktivit'!$B$3:$H$32,4)</f>
        <v>1</v>
      </c>
      <c r="G95" s="89" t="str">
        <f>VLOOKUP($C95,'Seznam aktivit'!$B$3:$H$32,5)</f>
        <v>Projektové vzdělávání / projektová výuka</v>
      </c>
      <c r="H95" s="89" t="str">
        <f>VLOOKUP($C95,'Seznam aktivit'!$B$3:$H$32,6)</f>
        <v>Vzdělávání s využitím nových technologií</v>
      </c>
      <c r="I95" s="90" t="str">
        <f>VLOOKUP($C95,'Seznam aktivit'!$B$3:$H$32,7)</f>
        <v>M. Hanuš</v>
      </c>
      <c r="J95" s="42">
        <f t="shared" si="15"/>
        <v>1</v>
      </c>
      <c r="K95" s="32">
        <f t="shared" si="16"/>
        <v>1</v>
      </c>
      <c r="L95" s="32">
        <f t="shared" si="10"/>
        <v>0</v>
      </c>
      <c r="M95" s="32">
        <f t="shared" si="9"/>
        <v>0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0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1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6Poliaková Julie</v>
      </c>
      <c r="C96" s="66">
        <v>6</v>
      </c>
      <c r="D96" s="12" t="s">
        <v>96</v>
      </c>
      <c r="E96" s="87" t="str">
        <f>VLOOKUP($C96,'Seznam aktivit'!$B$3:$H$32,2)</f>
        <v>26.09.2025</v>
      </c>
      <c r="F96" s="88">
        <f>VLOOKUP($C96,'Seznam aktivit'!$B$3:$H$32,4)</f>
        <v>1</v>
      </c>
      <c r="G96" s="89" t="str">
        <f>VLOOKUP($C96,'Seznam aktivit'!$B$3:$H$32,5)</f>
        <v>Projektové vzdělávání / projektová výuka</v>
      </c>
      <c r="H96" s="89" t="str">
        <f>VLOOKUP($C96,'Seznam aktivit'!$B$3:$H$32,6)</f>
        <v>Vzdělávání s využitím nových technologií</v>
      </c>
      <c r="I96" s="90" t="str">
        <f>VLOOKUP($C96,'Seznam aktivit'!$B$3:$H$32,7)</f>
        <v>M. Hanuš</v>
      </c>
      <c r="J96" s="42">
        <f t="shared" si="15"/>
        <v>1</v>
      </c>
      <c r="K96" s="32">
        <f t="shared" si="16"/>
        <v>1</v>
      </c>
      <c r="L96" s="32">
        <f t="shared" si="10"/>
        <v>0</v>
      </c>
      <c r="M96" s="32">
        <f t="shared" si="9"/>
        <v>0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0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1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6Přecechtěl František</v>
      </c>
      <c r="C97" s="66">
        <v>6</v>
      </c>
      <c r="D97" s="12" t="s">
        <v>97</v>
      </c>
      <c r="E97" s="87" t="str">
        <f>VLOOKUP($C97,'Seznam aktivit'!$B$3:$H$32,2)</f>
        <v>26.09.2025</v>
      </c>
      <c r="F97" s="88">
        <f>VLOOKUP($C97,'Seznam aktivit'!$B$3:$H$32,4)</f>
        <v>1</v>
      </c>
      <c r="G97" s="89" t="str">
        <f>VLOOKUP($C97,'Seznam aktivit'!$B$3:$H$32,5)</f>
        <v>Projektové vzdělávání / projektová výuka</v>
      </c>
      <c r="H97" s="89" t="str">
        <f>VLOOKUP($C97,'Seznam aktivit'!$B$3:$H$32,6)</f>
        <v>Vzdělávání s využitím nových technologií</v>
      </c>
      <c r="I97" s="90" t="str">
        <f>VLOOKUP($C97,'Seznam aktivit'!$B$3:$H$32,7)</f>
        <v>M. Hanuš</v>
      </c>
      <c r="J97" s="42">
        <f t="shared" si="15"/>
        <v>1</v>
      </c>
      <c r="K97" s="32">
        <f t="shared" si="16"/>
        <v>1</v>
      </c>
      <c r="L97" s="32">
        <f t="shared" si="10"/>
        <v>0</v>
      </c>
      <c r="M97" s="32">
        <f t="shared" si="9"/>
        <v>0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0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1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6Semančíková Anežka</v>
      </c>
      <c r="C98" s="66">
        <v>6</v>
      </c>
      <c r="D98" s="12" t="s">
        <v>98</v>
      </c>
      <c r="E98" s="87" t="str">
        <f>VLOOKUP($C98,'Seznam aktivit'!$B$3:$H$32,2)</f>
        <v>26.09.2025</v>
      </c>
      <c r="F98" s="88">
        <f>VLOOKUP($C98,'Seznam aktivit'!$B$3:$H$32,4)</f>
        <v>1</v>
      </c>
      <c r="G98" s="89" t="str">
        <f>VLOOKUP($C98,'Seznam aktivit'!$B$3:$H$32,5)</f>
        <v>Projektové vzdělávání / projektová výuka</v>
      </c>
      <c r="H98" s="89" t="str">
        <f>VLOOKUP($C98,'Seznam aktivit'!$B$3:$H$32,6)</f>
        <v>Vzdělávání s využitím nových technologií</v>
      </c>
      <c r="I98" s="90" t="str">
        <f>VLOOKUP($C98,'Seznam aktivit'!$B$3:$H$32,7)</f>
        <v>M. Hanuš</v>
      </c>
      <c r="J98" s="42">
        <f t="shared" si="15"/>
        <v>1</v>
      </c>
      <c r="K98" s="32">
        <f t="shared" si="16"/>
        <v>1</v>
      </c>
      <c r="L98" s="32">
        <f t="shared" si="10"/>
        <v>0</v>
      </c>
      <c r="M98" s="32">
        <f t="shared" si="9"/>
        <v>0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0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1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6Trávníčková Anastázie</v>
      </c>
      <c r="C99" s="66">
        <v>6</v>
      </c>
      <c r="D99" s="12" t="s">
        <v>100</v>
      </c>
      <c r="E99" s="87" t="str">
        <f>VLOOKUP($C99,'Seznam aktivit'!$B$3:$H$32,2)</f>
        <v>26.09.2025</v>
      </c>
      <c r="F99" s="88">
        <f>VLOOKUP($C99,'Seznam aktivit'!$B$3:$H$32,4)</f>
        <v>1</v>
      </c>
      <c r="G99" s="89" t="str">
        <f>VLOOKUP($C99,'Seznam aktivit'!$B$3:$H$32,5)</f>
        <v>Projektové vzdělávání / projektová výuka</v>
      </c>
      <c r="H99" s="89" t="str">
        <f>VLOOKUP($C99,'Seznam aktivit'!$B$3:$H$32,6)</f>
        <v>Vzdělávání s využitím nových technologií</v>
      </c>
      <c r="I99" s="90" t="str">
        <f>VLOOKUP($C99,'Seznam aktivit'!$B$3:$H$32,7)</f>
        <v>M. Hanuš</v>
      </c>
      <c r="J99" s="42">
        <f t="shared" si="15"/>
        <v>1</v>
      </c>
      <c r="K99" s="32">
        <f t="shared" si="16"/>
        <v>1</v>
      </c>
      <c r="L99" s="32">
        <f t="shared" si="10"/>
        <v>0</v>
      </c>
      <c r="M99" s="32">
        <f t="shared" si="9"/>
        <v>0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0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1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6Vala Tomáš</v>
      </c>
      <c r="C100" s="66">
        <v>6</v>
      </c>
      <c r="D100" s="12" t="s">
        <v>101</v>
      </c>
      <c r="E100" s="87" t="str">
        <f>VLOOKUP($C100,'Seznam aktivit'!$B$3:$H$32,2)</f>
        <v>26.09.2025</v>
      </c>
      <c r="F100" s="88">
        <f>VLOOKUP($C100,'Seznam aktivit'!$B$3:$H$32,4)</f>
        <v>1</v>
      </c>
      <c r="G100" s="89" t="str">
        <f>VLOOKUP($C100,'Seznam aktivit'!$B$3:$H$32,5)</f>
        <v>Projektové vzdělávání / projektová výuka</v>
      </c>
      <c r="H100" s="89" t="str">
        <f>VLOOKUP($C100,'Seznam aktivit'!$B$3:$H$32,6)</f>
        <v>Vzdělávání s využitím nových technologií</v>
      </c>
      <c r="I100" s="90" t="str">
        <f>VLOOKUP($C100,'Seznam aktivit'!$B$3:$H$32,7)</f>
        <v>M. Hanuš</v>
      </c>
      <c r="J100" s="42">
        <f t="shared" si="15"/>
        <v>1</v>
      </c>
      <c r="K100" s="32">
        <f t="shared" si="16"/>
        <v>1</v>
      </c>
      <c r="L100" s="32">
        <f t="shared" si="10"/>
        <v>0</v>
      </c>
      <c r="M100" s="32">
        <f t="shared" si="19"/>
        <v>0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0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1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7Benč Patrik</v>
      </c>
      <c r="C101" s="66">
        <v>7</v>
      </c>
      <c r="D101" s="12" t="s">
        <v>83</v>
      </c>
      <c r="E101" s="87" t="str">
        <f>VLOOKUP($C101,'Seznam aktivit'!$B$3:$H$32,2)</f>
        <v>01.10.2025</v>
      </c>
      <c r="F101" s="88">
        <f>VLOOKUP($C101,'Seznam aktivit'!$B$3:$H$32,4)</f>
        <v>1</v>
      </c>
      <c r="G101" s="89" t="str">
        <f>VLOOKUP($C101,'Seznam aktivit'!$B$3:$H$32,5)</f>
        <v>Projektové vzdělávání / projektová výuka</v>
      </c>
      <c r="H101" s="89" t="str">
        <f>VLOOKUP($C101,'Seznam aktivit'!$B$3:$H$32,6)</f>
        <v>Kulturní povědomí a vyjádření</v>
      </c>
      <c r="I101" s="90" t="str">
        <f>VLOOKUP($C101,'Seznam aktivit'!$B$3:$H$32,7)</f>
        <v>M. Hanuš</v>
      </c>
      <c r="J101" s="42">
        <f t="shared" si="15"/>
        <v>1</v>
      </c>
      <c r="K101" s="32">
        <f t="shared" si="16"/>
        <v>1</v>
      </c>
      <c r="L101" s="32">
        <f t="shared" si="10"/>
        <v>0</v>
      </c>
      <c r="M101" s="32">
        <f t="shared" si="19"/>
        <v>0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0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1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7Boruvka Matyáš</v>
      </c>
      <c r="C102" s="66">
        <v>7</v>
      </c>
      <c r="D102" s="12" t="s">
        <v>84</v>
      </c>
      <c r="E102" s="87" t="str">
        <f>VLOOKUP($C102,'Seznam aktivit'!$B$3:$H$32,2)</f>
        <v>01.10.2025</v>
      </c>
      <c r="F102" s="88">
        <f>VLOOKUP($C102,'Seznam aktivit'!$B$3:$H$32,4)</f>
        <v>1</v>
      </c>
      <c r="G102" s="89" t="str">
        <f>VLOOKUP($C102,'Seznam aktivit'!$B$3:$H$32,5)</f>
        <v>Projektové vzdělávání / projektová výuka</v>
      </c>
      <c r="H102" s="89" t="str">
        <f>VLOOKUP($C102,'Seznam aktivit'!$B$3:$H$32,6)</f>
        <v>Kulturní povědomí a vyjádření</v>
      </c>
      <c r="I102" s="90" t="str">
        <f>VLOOKUP($C102,'Seznam aktivit'!$B$3:$H$32,7)</f>
        <v>M. Hanuš</v>
      </c>
      <c r="J102" s="42">
        <f t="shared" si="15"/>
        <v>1</v>
      </c>
      <c r="K102" s="32">
        <f t="shared" si="16"/>
        <v>1</v>
      </c>
      <c r="L102" s="32">
        <f t="shared" si="10"/>
        <v>0</v>
      </c>
      <c r="M102" s="32">
        <f t="shared" si="19"/>
        <v>0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0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1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7Brenkusová Vanesa</v>
      </c>
      <c r="C103" s="66">
        <v>7</v>
      </c>
      <c r="D103" s="12" t="s">
        <v>85</v>
      </c>
      <c r="E103" s="87" t="str">
        <f>VLOOKUP($C103,'Seznam aktivit'!$B$3:$H$32,2)</f>
        <v>01.10.2025</v>
      </c>
      <c r="F103" s="88">
        <f>VLOOKUP($C103,'Seznam aktivit'!$B$3:$H$32,4)</f>
        <v>1</v>
      </c>
      <c r="G103" s="89" t="str">
        <f>VLOOKUP($C103,'Seznam aktivit'!$B$3:$H$32,5)</f>
        <v>Projektové vzdělávání / projektová výuka</v>
      </c>
      <c r="H103" s="89" t="str">
        <f>VLOOKUP($C103,'Seznam aktivit'!$B$3:$H$32,6)</f>
        <v>Kulturní povědomí a vyjádření</v>
      </c>
      <c r="I103" s="90" t="str">
        <f>VLOOKUP($C103,'Seznam aktivit'!$B$3:$H$32,7)</f>
        <v>M. Hanuš</v>
      </c>
      <c r="J103" s="42">
        <f t="shared" si="15"/>
        <v>1</v>
      </c>
      <c r="K103" s="32">
        <f t="shared" si="16"/>
        <v>1</v>
      </c>
      <c r="L103" s="32">
        <f t="shared" si="10"/>
        <v>0</v>
      </c>
      <c r="M103" s="32">
        <f t="shared" si="19"/>
        <v>0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0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1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7Brixelová Elen</v>
      </c>
      <c r="C104" s="66">
        <v>7</v>
      </c>
      <c r="D104" s="12" t="s">
        <v>86</v>
      </c>
      <c r="E104" s="87" t="str">
        <f>VLOOKUP($C104,'Seznam aktivit'!$B$3:$H$32,2)</f>
        <v>01.10.2025</v>
      </c>
      <c r="F104" s="88">
        <f>VLOOKUP($C104,'Seznam aktivit'!$B$3:$H$32,4)</f>
        <v>1</v>
      </c>
      <c r="G104" s="89" t="str">
        <f>VLOOKUP($C104,'Seznam aktivit'!$B$3:$H$32,5)</f>
        <v>Projektové vzdělávání / projektová výuka</v>
      </c>
      <c r="H104" s="89" t="str">
        <f>VLOOKUP($C104,'Seznam aktivit'!$B$3:$H$32,6)</f>
        <v>Kulturní povědomí a vyjádření</v>
      </c>
      <c r="I104" s="90" t="str">
        <f>VLOOKUP($C104,'Seznam aktivit'!$B$3:$H$32,7)</f>
        <v>M. Hanuš</v>
      </c>
      <c r="J104" s="42">
        <f t="shared" si="15"/>
        <v>1</v>
      </c>
      <c r="K104" s="32">
        <f t="shared" si="16"/>
        <v>1</v>
      </c>
      <c r="L104" s="32">
        <f t="shared" si="10"/>
        <v>0</v>
      </c>
      <c r="M104" s="32">
        <f t="shared" si="19"/>
        <v>0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0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1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7Hájková Valérie</v>
      </c>
      <c r="C105" s="66">
        <v>7</v>
      </c>
      <c r="D105" s="12" t="s">
        <v>87</v>
      </c>
      <c r="E105" s="87" t="str">
        <f>VLOOKUP($C105,'Seznam aktivit'!$B$3:$H$32,2)</f>
        <v>01.10.2025</v>
      </c>
      <c r="F105" s="88">
        <f>VLOOKUP($C105,'Seznam aktivit'!$B$3:$H$32,4)</f>
        <v>1</v>
      </c>
      <c r="G105" s="89" t="str">
        <f>VLOOKUP($C105,'Seznam aktivit'!$B$3:$H$32,5)</f>
        <v>Projektové vzdělávání / projektová výuka</v>
      </c>
      <c r="H105" s="89" t="str">
        <f>VLOOKUP($C105,'Seznam aktivit'!$B$3:$H$32,6)</f>
        <v>Kulturní povědomí a vyjádření</v>
      </c>
      <c r="I105" s="90" t="str">
        <f>VLOOKUP($C105,'Seznam aktivit'!$B$3:$H$32,7)</f>
        <v>M. Hanuš</v>
      </c>
      <c r="J105" s="42">
        <f t="shared" si="15"/>
        <v>1</v>
      </c>
      <c r="K105" s="32">
        <f t="shared" si="16"/>
        <v>1</v>
      </c>
      <c r="L105" s="32">
        <f t="shared" si="10"/>
        <v>0</v>
      </c>
      <c r="M105" s="32">
        <f t="shared" si="19"/>
        <v>0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0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1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7Chudý Dominik</v>
      </c>
      <c r="C106" s="66">
        <v>7</v>
      </c>
      <c r="D106" s="12" t="s">
        <v>88</v>
      </c>
      <c r="E106" s="87" t="str">
        <f>VLOOKUP($C106,'Seznam aktivit'!$B$3:$H$32,2)</f>
        <v>01.10.2025</v>
      </c>
      <c r="F106" s="88">
        <f>VLOOKUP($C106,'Seznam aktivit'!$B$3:$H$32,4)</f>
        <v>1</v>
      </c>
      <c r="G106" s="89" t="str">
        <f>VLOOKUP($C106,'Seznam aktivit'!$B$3:$H$32,5)</f>
        <v>Projektové vzdělávání / projektová výuka</v>
      </c>
      <c r="H106" s="89" t="str">
        <f>VLOOKUP($C106,'Seznam aktivit'!$B$3:$H$32,6)</f>
        <v>Kulturní povědomí a vyjádření</v>
      </c>
      <c r="I106" s="90" t="str">
        <f>VLOOKUP($C106,'Seznam aktivit'!$B$3:$H$32,7)</f>
        <v>M. Hanuš</v>
      </c>
      <c r="J106" s="42">
        <f t="shared" si="15"/>
        <v>1</v>
      </c>
      <c r="K106" s="32">
        <f t="shared" si="16"/>
        <v>1</v>
      </c>
      <c r="L106" s="32">
        <f t="shared" si="10"/>
        <v>0</v>
      </c>
      <c r="M106" s="32">
        <f t="shared" si="19"/>
        <v>0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0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1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7Ježková Vendula</v>
      </c>
      <c r="C107" s="66">
        <v>7</v>
      </c>
      <c r="D107" s="12" t="s">
        <v>89</v>
      </c>
      <c r="E107" s="87" t="str">
        <f>VLOOKUP($C107,'Seznam aktivit'!$B$3:$H$32,2)</f>
        <v>01.10.2025</v>
      </c>
      <c r="F107" s="88">
        <f>VLOOKUP($C107,'Seznam aktivit'!$B$3:$H$32,4)</f>
        <v>1</v>
      </c>
      <c r="G107" s="89" t="str">
        <f>VLOOKUP($C107,'Seznam aktivit'!$B$3:$H$32,5)</f>
        <v>Projektové vzdělávání / projektová výuka</v>
      </c>
      <c r="H107" s="89" t="str">
        <f>VLOOKUP($C107,'Seznam aktivit'!$B$3:$H$32,6)</f>
        <v>Kulturní povědomí a vyjádření</v>
      </c>
      <c r="I107" s="90" t="str">
        <f>VLOOKUP($C107,'Seznam aktivit'!$B$3:$H$32,7)</f>
        <v>M. Hanuš</v>
      </c>
      <c r="J107" s="42">
        <f t="shared" si="15"/>
        <v>1</v>
      </c>
      <c r="K107" s="32">
        <f t="shared" si="16"/>
        <v>1</v>
      </c>
      <c r="L107" s="32">
        <f t="shared" si="10"/>
        <v>0</v>
      </c>
      <c r="M107" s="32">
        <f t="shared" si="19"/>
        <v>0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0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1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7Krywdová Eliška</v>
      </c>
      <c r="C108" s="66">
        <v>7</v>
      </c>
      <c r="D108" s="12" t="s">
        <v>91</v>
      </c>
      <c r="E108" s="87" t="str">
        <f>VLOOKUP($C108,'Seznam aktivit'!$B$3:$H$32,2)</f>
        <v>01.10.2025</v>
      </c>
      <c r="F108" s="88">
        <f>VLOOKUP($C108,'Seznam aktivit'!$B$3:$H$32,4)</f>
        <v>1</v>
      </c>
      <c r="G108" s="89" t="str">
        <f>VLOOKUP($C108,'Seznam aktivit'!$B$3:$H$32,5)</f>
        <v>Projektové vzdělávání / projektová výuka</v>
      </c>
      <c r="H108" s="89" t="str">
        <f>VLOOKUP($C108,'Seznam aktivit'!$B$3:$H$32,6)</f>
        <v>Kulturní povědomí a vyjádření</v>
      </c>
      <c r="I108" s="90" t="str">
        <f>VLOOKUP($C108,'Seznam aktivit'!$B$3:$H$32,7)</f>
        <v>M. Hanuš</v>
      </c>
      <c r="J108" s="42">
        <f t="shared" si="15"/>
        <v>1</v>
      </c>
      <c r="K108" s="32">
        <f t="shared" si="16"/>
        <v>1</v>
      </c>
      <c r="L108" s="32">
        <f t="shared" si="10"/>
        <v>0</v>
      </c>
      <c r="M108" s="32">
        <f t="shared" si="19"/>
        <v>0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0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1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7Marko Radek</v>
      </c>
      <c r="C109" s="66">
        <v>7</v>
      </c>
      <c r="D109" s="12" t="s">
        <v>92</v>
      </c>
      <c r="E109" s="87" t="str">
        <f>VLOOKUP($C109,'Seznam aktivit'!$B$3:$H$32,2)</f>
        <v>01.10.2025</v>
      </c>
      <c r="F109" s="88">
        <f>VLOOKUP($C109,'Seznam aktivit'!$B$3:$H$32,4)</f>
        <v>1</v>
      </c>
      <c r="G109" s="89" t="str">
        <f>VLOOKUP($C109,'Seznam aktivit'!$B$3:$H$32,5)</f>
        <v>Projektové vzdělávání / projektová výuka</v>
      </c>
      <c r="H109" s="89" t="str">
        <f>VLOOKUP($C109,'Seznam aktivit'!$B$3:$H$32,6)</f>
        <v>Kulturní povědomí a vyjádření</v>
      </c>
      <c r="I109" s="90" t="str">
        <f>VLOOKUP($C109,'Seznam aktivit'!$B$3:$H$32,7)</f>
        <v>M. Hanuš</v>
      </c>
      <c r="J109" s="42">
        <f t="shared" si="15"/>
        <v>1</v>
      </c>
      <c r="K109" s="32">
        <f t="shared" si="16"/>
        <v>1</v>
      </c>
      <c r="L109" s="32">
        <f t="shared" si="10"/>
        <v>0</v>
      </c>
      <c r="M109" s="32">
        <f t="shared" si="19"/>
        <v>0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0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1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7Polák Filip</v>
      </c>
      <c r="C110" s="66">
        <v>7</v>
      </c>
      <c r="D110" s="12" t="s">
        <v>95</v>
      </c>
      <c r="E110" s="87" t="str">
        <f>VLOOKUP($C110,'Seznam aktivit'!$B$3:$H$32,2)</f>
        <v>01.10.2025</v>
      </c>
      <c r="F110" s="88">
        <f>VLOOKUP($C110,'Seznam aktivit'!$B$3:$H$32,4)</f>
        <v>1</v>
      </c>
      <c r="G110" s="89" t="str">
        <f>VLOOKUP($C110,'Seznam aktivit'!$B$3:$H$32,5)</f>
        <v>Projektové vzdělávání / projektová výuka</v>
      </c>
      <c r="H110" s="89" t="str">
        <f>VLOOKUP($C110,'Seznam aktivit'!$B$3:$H$32,6)</f>
        <v>Kulturní povědomí a vyjádření</v>
      </c>
      <c r="I110" s="90" t="str">
        <f>VLOOKUP($C110,'Seznam aktivit'!$B$3:$H$32,7)</f>
        <v>M. Hanuš</v>
      </c>
      <c r="J110" s="42">
        <f t="shared" si="15"/>
        <v>1</v>
      </c>
      <c r="K110" s="32">
        <f t="shared" si="16"/>
        <v>1</v>
      </c>
      <c r="L110" s="32">
        <f t="shared" si="10"/>
        <v>0</v>
      </c>
      <c r="M110" s="32">
        <f t="shared" si="19"/>
        <v>0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0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1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7Poliaková Julie</v>
      </c>
      <c r="C111" s="66">
        <v>7</v>
      </c>
      <c r="D111" s="12" t="s">
        <v>96</v>
      </c>
      <c r="E111" s="87" t="str">
        <f>VLOOKUP($C111,'Seznam aktivit'!$B$3:$H$32,2)</f>
        <v>01.10.2025</v>
      </c>
      <c r="F111" s="88">
        <f>VLOOKUP($C111,'Seznam aktivit'!$B$3:$H$32,4)</f>
        <v>1</v>
      </c>
      <c r="G111" s="89" t="str">
        <f>VLOOKUP($C111,'Seznam aktivit'!$B$3:$H$32,5)</f>
        <v>Projektové vzdělávání / projektová výuka</v>
      </c>
      <c r="H111" s="89" t="str">
        <f>VLOOKUP($C111,'Seznam aktivit'!$B$3:$H$32,6)</f>
        <v>Kulturní povědomí a vyjádření</v>
      </c>
      <c r="I111" s="90" t="str">
        <f>VLOOKUP($C111,'Seznam aktivit'!$B$3:$H$32,7)</f>
        <v>M. Hanuš</v>
      </c>
      <c r="J111" s="42">
        <f t="shared" si="15"/>
        <v>1</v>
      </c>
      <c r="K111" s="32">
        <f t="shared" si="16"/>
        <v>1</v>
      </c>
      <c r="L111" s="32">
        <f t="shared" si="10"/>
        <v>0</v>
      </c>
      <c r="M111" s="32">
        <f t="shared" si="19"/>
        <v>0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0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1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7Přecechtěl František</v>
      </c>
      <c r="C112" s="66">
        <v>7</v>
      </c>
      <c r="D112" s="12" t="s">
        <v>97</v>
      </c>
      <c r="E112" s="87" t="str">
        <f>VLOOKUP($C112,'Seznam aktivit'!$B$3:$H$32,2)</f>
        <v>01.10.2025</v>
      </c>
      <c r="F112" s="88">
        <f>VLOOKUP($C112,'Seznam aktivit'!$B$3:$H$32,4)</f>
        <v>1</v>
      </c>
      <c r="G112" s="89" t="str">
        <f>VLOOKUP($C112,'Seznam aktivit'!$B$3:$H$32,5)</f>
        <v>Projektové vzdělávání / projektová výuka</v>
      </c>
      <c r="H112" s="89" t="str">
        <f>VLOOKUP($C112,'Seznam aktivit'!$B$3:$H$32,6)</f>
        <v>Kulturní povědomí a vyjádření</v>
      </c>
      <c r="I112" s="90" t="str">
        <f>VLOOKUP($C112,'Seznam aktivit'!$B$3:$H$32,7)</f>
        <v>M. Hanuš</v>
      </c>
      <c r="J112" s="42">
        <f t="shared" si="15"/>
        <v>1</v>
      </c>
      <c r="K112" s="32">
        <f t="shared" si="16"/>
        <v>1</v>
      </c>
      <c r="L112" s="32">
        <f t="shared" si="10"/>
        <v>0</v>
      </c>
      <c r="M112" s="32">
        <f t="shared" si="19"/>
        <v>0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0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1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7Semančíková Anežka</v>
      </c>
      <c r="C113" s="66">
        <v>7</v>
      </c>
      <c r="D113" s="12" t="s">
        <v>98</v>
      </c>
      <c r="E113" s="87" t="str">
        <f>VLOOKUP($C113,'Seznam aktivit'!$B$3:$H$32,2)</f>
        <v>01.10.2025</v>
      </c>
      <c r="F113" s="88">
        <f>VLOOKUP($C113,'Seznam aktivit'!$B$3:$H$32,4)</f>
        <v>1</v>
      </c>
      <c r="G113" s="89" t="str">
        <f>VLOOKUP($C113,'Seznam aktivit'!$B$3:$H$32,5)</f>
        <v>Projektové vzdělávání / projektová výuka</v>
      </c>
      <c r="H113" s="89" t="str">
        <f>VLOOKUP($C113,'Seznam aktivit'!$B$3:$H$32,6)</f>
        <v>Kulturní povědomí a vyjádření</v>
      </c>
      <c r="I113" s="90" t="str">
        <f>VLOOKUP($C113,'Seznam aktivit'!$B$3:$H$32,7)</f>
        <v>M. Hanuš</v>
      </c>
      <c r="J113" s="42">
        <f t="shared" si="15"/>
        <v>1</v>
      </c>
      <c r="K113" s="32">
        <f t="shared" si="16"/>
        <v>1</v>
      </c>
      <c r="L113" s="32">
        <f t="shared" si="16"/>
        <v>0</v>
      </c>
      <c r="M113" s="32">
        <f t="shared" si="19"/>
        <v>0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0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1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7Soška Filip</v>
      </c>
      <c r="C114" s="66">
        <v>7</v>
      </c>
      <c r="D114" s="12" t="s">
        <v>99</v>
      </c>
      <c r="E114" s="87" t="str">
        <f>VLOOKUP($C114,'Seznam aktivit'!$B$3:$H$32,2)</f>
        <v>01.10.2025</v>
      </c>
      <c r="F114" s="88">
        <f>VLOOKUP($C114,'Seznam aktivit'!$B$3:$H$32,4)</f>
        <v>1</v>
      </c>
      <c r="G114" s="89" t="str">
        <f>VLOOKUP($C114,'Seznam aktivit'!$B$3:$H$32,5)</f>
        <v>Projektové vzdělávání / projektová výuka</v>
      </c>
      <c r="H114" s="89" t="str">
        <f>VLOOKUP($C114,'Seznam aktivit'!$B$3:$H$32,6)</f>
        <v>Kulturní povědomí a vyjádření</v>
      </c>
      <c r="I114" s="90" t="str">
        <f>VLOOKUP($C114,'Seznam aktivit'!$B$3:$H$32,7)</f>
        <v>M. Hanuš</v>
      </c>
      <c r="J114" s="42">
        <f t="shared" si="15"/>
        <v>1</v>
      </c>
      <c r="K114" s="32">
        <f t="shared" si="16"/>
        <v>1</v>
      </c>
      <c r="L114" s="32">
        <f t="shared" si="16"/>
        <v>0</v>
      </c>
      <c r="M114" s="32">
        <f t="shared" si="19"/>
        <v>0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0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1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7Trávníčková Anastázie</v>
      </c>
      <c r="C115" s="66">
        <v>7</v>
      </c>
      <c r="D115" s="12" t="s">
        <v>100</v>
      </c>
      <c r="E115" s="87" t="str">
        <f>VLOOKUP($C115,'Seznam aktivit'!$B$3:$H$32,2)</f>
        <v>01.10.2025</v>
      </c>
      <c r="F115" s="88">
        <f>VLOOKUP($C115,'Seznam aktivit'!$B$3:$H$32,4)</f>
        <v>1</v>
      </c>
      <c r="G115" s="89" t="str">
        <f>VLOOKUP($C115,'Seznam aktivit'!$B$3:$H$32,5)</f>
        <v>Projektové vzdělávání / projektová výuka</v>
      </c>
      <c r="H115" s="89" t="str">
        <f>VLOOKUP($C115,'Seznam aktivit'!$B$3:$H$32,6)</f>
        <v>Kulturní povědomí a vyjádření</v>
      </c>
      <c r="I115" s="90" t="str">
        <f>VLOOKUP($C115,'Seznam aktivit'!$B$3:$H$32,7)</f>
        <v>M. Hanuš</v>
      </c>
      <c r="J115" s="42">
        <f t="shared" si="15"/>
        <v>1</v>
      </c>
      <c r="K115" s="32">
        <f t="shared" si="16"/>
        <v>1</v>
      </c>
      <c r="L115" s="32">
        <f t="shared" si="16"/>
        <v>0</v>
      </c>
      <c r="M115" s="32">
        <f t="shared" si="19"/>
        <v>0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0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1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7Vala Tomáš</v>
      </c>
      <c r="C116" s="66">
        <v>7</v>
      </c>
      <c r="D116" s="12" t="s">
        <v>101</v>
      </c>
      <c r="E116" s="87" t="str">
        <f>VLOOKUP($C116,'Seznam aktivit'!$B$3:$H$32,2)</f>
        <v>01.10.2025</v>
      </c>
      <c r="F116" s="88">
        <f>VLOOKUP($C116,'Seznam aktivit'!$B$3:$H$32,4)</f>
        <v>1</v>
      </c>
      <c r="G116" s="89" t="str">
        <f>VLOOKUP($C116,'Seznam aktivit'!$B$3:$H$32,5)</f>
        <v>Projektové vzdělávání / projektová výuka</v>
      </c>
      <c r="H116" s="89" t="str">
        <f>VLOOKUP($C116,'Seznam aktivit'!$B$3:$H$32,6)</f>
        <v>Kulturní povědomí a vyjádření</v>
      </c>
      <c r="I116" s="90" t="str">
        <f>VLOOKUP($C116,'Seznam aktivit'!$B$3:$H$32,7)</f>
        <v>M. Hanuš</v>
      </c>
      <c r="J116" s="42">
        <f t="shared" si="15"/>
        <v>1</v>
      </c>
      <c r="K116" s="32">
        <f t="shared" si="16"/>
        <v>1</v>
      </c>
      <c r="L116" s="32">
        <f t="shared" si="16"/>
        <v>0</v>
      </c>
      <c r="M116" s="32">
        <f t="shared" si="19"/>
        <v>0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0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1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8Antala Štěpán</v>
      </c>
      <c r="C117" s="66">
        <v>8</v>
      </c>
      <c r="D117" s="12" t="s">
        <v>82</v>
      </c>
      <c r="E117" s="87" t="str">
        <f>VLOOKUP($C117,'Seznam aktivit'!$B$3:$H$32,2)</f>
        <v>03.10.2025</v>
      </c>
      <c r="F117" s="88">
        <f>VLOOKUP($C117,'Seznam aktivit'!$B$3:$H$32,4)</f>
        <v>1</v>
      </c>
      <c r="G117" s="89" t="str">
        <f>VLOOKUP($C117,'Seznam aktivit'!$B$3:$H$32,5)</f>
        <v>Projektové vzdělávání / projektová výuka</v>
      </c>
      <c r="H117" s="89" t="str">
        <f>VLOOKUP($C117,'Seznam aktivit'!$B$3:$H$32,6)</f>
        <v>Historické povědomí, výuka moderních dějin</v>
      </c>
      <c r="I117" s="90" t="str">
        <f>VLOOKUP($C117,'Seznam aktivit'!$B$3:$H$32,7)</f>
        <v>M. Hanuš</v>
      </c>
      <c r="J117" s="42">
        <f t="shared" si="15"/>
        <v>1</v>
      </c>
      <c r="K117" s="32">
        <f t="shared" si="16"/>
        <v>1</v>
      </c>
      <c r="L117" s="32">
        <f t="shared" si="16"/>
        <v>0</v>
      </c>
      <c r="M117" s="32">
        <f t="shared" si="19"/>
        <v>0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0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1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8Benč Patrik</v>
      </c>
      <c r="C118" s="66">
        <v>8</v>
      </c>
      <c r="D118" s="12" t="s">
        <v>83</v>
      </c>
      <c r="E118" s="87" t="str">
        <f>VLOOKUP($C118,'Seznam aktivit'!$B$3:$H$32,2)</f>
        <v>03.10.2025</v>
      </c>
      <c r="F118" s="88">
        <f>VLOOKUP($C118,'Seznam aktivit'!$B$3:$H$32,4)</f>
        <v>1</v>
      </c>
      <c r="G118" s="89" t="str">
        <f>VLOOKUP($C118,'Seznam aktivit'!$B$3:$H$32,5)</f>
        <v>Projektové vzdělávání / projektová výuka</v>
      </c>
      <c r="H118" s="89" t="str">
        <f>VLOOKUP($C118,'Seznam aktivit'!$B$3:$H$32,6)</f>
        <v>Historické povědomí, výuka moderních dějin</v>
      </c>
      <c r="I118" s="90" t="str">
        <f>VLOOKUP($C118,'Seznam aktivit'!$B$3:$H$32,7)</f>
        <v>M. Hanuš</v>
      </c>
      <c r="J118" s="42">
        <f t="shared" si="15"/>
        <v>1</v>
      </c>
      <c r="K118" s="32">
        <f t="shared" si="16"/>
        <v>1</v>
      </c>
      <c r="L118" s="32">
        <f t="shared" si="16"/>
        <v>0</v>
      </c>
      <c r="M118" s="32">
        <f t="shared" si="19"/>
        <v>0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0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1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8Boruvka Matyáš</v>
      </c>
      <c r="C119" s="66">
        <v>8</v>
      </c>
      <c r="D119" s="12" t="s">
        <v>84</v>
      </c>
      <c r="E119" s="87" t="str">
        <f>VLOOKUP($C119,'Seznam aktivit'!$B$3:$H$32,2)</f>
        <v>03.10.2025</v>
      </c>
      <c r="F119" s="88">
        <f>VLOOKUP($C119,'Seznam aktivit'!$B$3:$H$32,4)</f>
        <v>1</v>
      </c>
      <c r="G119" s="89" t="str">
        <f>VLOOKUP($C119,'Seznam aktivit'!$B$3:$H$32,5)</f>
        <v>Projektové vzdělávání / projektová výuka</v>
      </c>
      <c r="H119" s="89" t="str">
        <f>VLOOKUP($C119,'Seznam aktivit'!$B$3:$H$32,6)</f>
        <v>Historické povědomí, výuka moderních dějin</v>
      </c>
      <c r="I119" s="90" t="str">
        <f>VLOOKUP($C119,'Seznam aktivit'!$B$3:$H$32,7)</f>
        <v>M. Hanuš</v>
      </c>
      <c r="J119" s="42">
        <f t="shared" si="15"/>
        <v>1</v>
      </c>
      <c r="K119" s="32">
        <f t="shared" si="16"/>
        <v>1</v>
      </c>
      <c r="L119" s="32">
        <f t="shared" si="16"/>
        <v>0</v>
      </c>
      <c r="M119" s="32">
        <f t="shared" si="19"/>
        <v>0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0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1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8Brenkusová Vanesa</v>
      </c>
      <c r="C120" s="66">
        <v>8</v>
      </c>
      <c r="D120" s="12" t="s">
        <v>85</v>
      </c>
      <c r="E120" s="87" t="str">
        <f>VLOOKUP($C120,'Seznam aktivit'!$B$3:$H$32,2)</f>
        <v>03.10.2025</v>
      </c>
      <c r="F120" s="88">
        <f>VLOOKUP($C120,'Seznam aktivit'!$B$3:$H$32,4)</f>
        <v>1</v>
      </c>
      <c r="G120" s="89" t="str">
        <f>VLOOKUP($C120,'Seznam aktivit'!$B$3:$H$32,5)</f>
        <v>Projektové vzdělávání / projektová výuka</v>
      </c>
      <c r="H120" s="89" t="str">
        <f>VLOOKUP($C120,'Seznam aktivit'!$B$3:$H$32,6)</f>
        <v>Historické povědomí, výuka moderních dějin</v>
      </c>
      <c r="I120" s="90" t="str">
        <f>VLOOKUP($C120,'Seznam aktivit'!$B$3:$H$32,7)</f>
        <v>M. Hanuš</v>
      </c>
      <c r="J120" s="42">
        <f t="shared" si="15"/>
        <v>1</v>
      </c>
      <c r="K120" s="32">
        <f t="shared" si="16"/>
        <v>1</v>
      </c>
      <c r="L120" s="32">
        <f t="shared" si="16"/>
        <v>0</v>
      </c>
      <c r="M120" s="32">
        <f t="shared" si="19"/>
        <v>0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0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1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8Brixelová Elen</v>
      </c>
      <c r="C121" s="66">
        <v>8</v>
      </c>
      <c r="D121" s="12" t="s">
        <v>86</v>
      </c>
      <c r="E121" s="87" t="str">
        <f>VLOOKUP($C121,'Seznam aktivit'!$B$3:$H$32,2)</f>
        <v>03.10.2025</v>
      </c>
      <c r="F121" s="88">
        <f>VLOOKUP($C121,'Seznam aktivit'!$B$3:$H$32,4)</f>
        <v>1</v>
      </c>
      <c r="G121" s="89" t="str">
        <f>VLOOKUP($C121,'Seznam aktivit'!$B$3:$H$32,5)</f>
        <v>Projektové vzdělávání / projektová výuka</v>
      </c>
      <c r="H121" s="89" t="str">
        <f>VLOOKUP($C121,'Seznam aktivit'!$B$3:$H$32,6)</f>
        <v>Historické povědomí, výuka moderních dějin</v>
      </c>
      <c r="I121" s="90" t="str">
        <f>VLOOKUP($C121,'Seznam aktivit'!$B$3:$H$32,7)</f>
        <v>M. Hanuš</v>
      </c>
      <c r="J121" s="42">
        <f t="shared" si="15"/>
        <v>1</v>
      </c>
      <c r="K121" s="32">
        <f t="shared" si="16"/>
        <v>1</v>
      </c>
      <c r="L121" s="32">
        <f t="shared" si="16"/>
        <v>0</v>
      </c>
      <c r="M121" s="32">
        <f t="shared" si="19"/>
        <v>0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0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1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8Chudý Dominik</v>
      </c>
      <c r="C122" s="66">
        <v>8</v>
      </c>
      <c r="D122" s="12" t="s">
        <v>88</v>
      </c>
      <c r="E122" s="87" t="str">
        <f>VLOOKUP($C122,'Seznam aktivit'!$B$3:$H$32,2)</f>
        <v>03.10.2025</v>
      </c>
      <c r="F122" s="88">
        <f>VLOOKUP($C122,'Seznam aktivit'!$B$3:$H$32,4)</f>
        <v>1</v>
      </c>
      <c r="G122" s="89" t="str">
        <f>VLOOKUP($C122,'Seznam aktivit'!$B$3:$H$32,5)</f>
        <v>Projektové vzdělávání / projektová výuka</v>
      </c>
      <c r="H122" s="89" t="str">
        <f>VLOOKUP($C122,'Seznam aktivit'!$B$3:$H$32,6)</f>
        <v>Historické povědomí, výuka moderních dějin</v>
      </c>
      <c r="I122" s="90" t="str">
        <f>VLOOKUP($C122,'Seznam aktivit'!$B$3:$H$32,7)</f>
        <v>M. Hanuš</v>
      </c>
      <c r="J122" s="42">
        <f t="shared" si="15"/>
        <v>1</v>
      </c>
      <c r="K122" s="32">
        <f t="shared" si="16"/>
        <v>1</v>
      </c>
      <c r="L122" s="32">
        <f t="shared" si="16"/>
        <v>0</v>
      </c>
      <c r="M122" s="32">
        <f t="shared" si="19"/>
        <v>0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0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1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8Ježková Vendula</v>
      </c>
      <c r="C123" s="66">
        <v>8</v>
      </c>
      <c r="D123" s="12" t="s">
        <v>89</v>
      </c>
      <c r="E123" s="87" t="str">
        <f>VLOOKUP($C123,'Seznam aktivit'!$B$3:$H$32,2)</f>
        <v>03.10.2025</v>
      </c>
      <c r="F123" s="88">
        <f>VLOOKUP($C123,'Seznam aktivit'!$B$3:$H$32,4)</f>
        <v>1</v>
      </c>
      <c r="G123" s="89" t="str">
        <f>VLOOKUP($C123,'Seznam aktivit'!$B$3:$H$32,5)</f>
        <v>Projektové vzdělávání / projektová výuka</v>
      </c>
      <c r="H123" s="89" t="str">
        <f>VLOOKUP($C123,'Seznam aktivit'!$B$3:$H$32,6)</f>
        <v>Historické povědomí, výuka moderních dějin</v>
      </c>
      <c r="I123" s="90" t="str">
        <f>VLOOKUP($C123,'Seznam aktivit'!$B$3:$H$32,7)</f>
        <v>M. Hanuš</v>
      </c>
      <c r="J123" s="42">
        <f t="shared" si="15"/>
        <v>1</v>
      </c>
      <c r="K123" s="32">
        <f t="shared" si="16"/>
        <v>1</v>
      </c>
      <c r="L123" s="32">
        <f t="shared" si="16"/>
        <v>0</v>
      </c>
      <c r="M123" s="32">
        <f t="shared" si="19"/>
        <v>0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0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1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8Juráň Jindřich</v>
      </c>
      <c r="C124" s="66">
        <v>8</v>
      </c>
      <c r="D124" s="12" t="s">
        <v>90</v>
      </c>
      <c r="E124" s="87" t="str">
        <f>VLOOKUP($C124,'Seznam aktivit'!$B$3:$H$32,2)</f>
        <v>03.10.2025</v>
      </c>
      <c r="F124" s="88">
        <f>VLOOKUP($C124,'Seznam aktivit'!$B$3:$H$32,4)</f>
        <v>1</v>
      </c>
      <c r="G124" s="89" t="str">
        <f>VLOOKUP($C124,'Seznam aktivit'!$B$3:$H$32,5)</f>
        <v>Projektové vzdělávání / projektová výuka</v>
      </c>
      <c r="H124" s="89" t="str">
        <f>VLOOKUP($C124,'Seznam aktivit'!$B$3:$H$32,6)</f>
        <v>Historické povědomí, výuka moderních dějin</v>
      </c>
      <c r="I124" s="90" t="str">
        <f>VLOOKUP($C124,'Seznam aktivit'!$B$3:$H$32,7)</f>
        <v>M. Hanuš</v>
      </c>
      <c r="J124" s="42">
        <f t="shared" si="15"/>
        <v>1</v>
      </c>
      <c r="K124" s="32">
        <f t="shared" si="16"/>
        <v>1</v>
      </c>
      <c r="L124" s="32">
        <f t="shared" si="16"/>
        <v>0</v>
      </c>
      <c r="M124" s="32">
        <f t="shared" si="19"/>
        <v>0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0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1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8Krywdová Eliška</v>
      </c>
      <c r="C125" s="66">
        <v>8</v>
      </c>
      <c r="D125" s="12" t="s">
        <v>91</v>
      </c>
      <c r="E125" s="87" t="str">
        <f>VLOOKUP($C125,'Seznam aktivit'!$B$3:$H$32,2)</f>
        <v>03.10.2025</v>
      </c>
      <c r="F125" s="88">
        <f>VLOOKUP($C125,'Seznam aktivit'!$B$3:$H$32,4)</f>
        <v>1</v>
      </c>
      <c r="G125" s="89" t="str">
        <f>VLOOKUP($C125,'Seznam aktivit'!$B$3:$H$32,5)</f>
        <v>Projektové vzdělávání / projektová výuka</v>
      </c>
      <c r="H125" s="89" t="str">
        <f>VLOOKUP($C125,'Seznam aktivit'!$B$3:$H$32,6)</f>
        <v>Historické povědomí, výuka moderních dějin</v>
      </c>
      <c r="I125" s="90" t="str">
        <f>VLOOKUP($C125,'Seznam aktivit'!$B$3:$H$32,7)</f>
        <v>M. Hanuš</v>
      </c>
      <c r="J125" s="42">
        <f t="shared" si="15"/>
        <v>1</v>
      </c>
      <c r="K125" s="32">
        <f t="shared" si="16"/>
        <v>1</v>
      </c>
      <c r="L125" s="32">
        <f t="shared" si="16"/>
        <v>0</v>
      </c>
      <c r="M125" s="32">
        <f t="shared" si="19"/>
        <v>0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0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1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8Marko Radek</v>
      </c>
      <c r="C126" s="66">
        <v>8</v>
      </c>
      <c r="D126" s="12" t="s">
        <v>92</v>
      </c>
      <c r="E126" s="87" t="str">
        <f>VLOOKUP($C126,'Seznam aktivit'!$B$3:$H$32,2)</f>
        <v>03.10.2025</v>
      </c>
      <c r="F126" s="88">
        <f>VLOOKUP($C126,'Seznam aktivit'!$B$3:$H$32,4)</f>
        <v>1</v>
      </c>
      <c r="G126" s="89" t="str">
        <f>VLOOKUP($C126,'Seznam aktivit'!$B$3:$H$32,5)</f>
        <v>Projektové vzdělávání / projektová výuka</v>
      </c>
      <c r="H126" s="89" t="str">
        <f>VLOOKUP($C126,'Seznam aktivit'!$B$3:$H$32,6)</f>
        <v>Historické povědomí, výuka moderních dějin</v>
      </c>
      <c r="I126" s="90" t="str">
        <f>VLOOKUP($C126,'Seznam aktivit'!$B$3:$H$32,7)</f>
        <v>M. Hanuš</v>
      </c>
      <c r="J126" s="42">
        <f t="shared" si="15"/>
        <v>1</v>
      </c>
      <c r="K126" s="32">
        <f t="shared" si="16"/>
        <v>1</v>
      </c>
      <c r="L126" s="32">
        <f t="shared" si="16"/>
        <v>0</v>
      </c>
      <c r="M126" s="32">
        <f t="shared" si="19"/>
        <v>0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0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1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8Patrman Ondřej</v>
      </c>
      <c r="C127" s="66">
        <v>8</v>
      </c>
      <c r="D127" s="12" t="s">
        <v>94</v>
      </c>
      <c r="E127" s="87" t="str">
        <f>VLOOKUP($C127,'Seznam aktivit'!$B$3:$H$32,2)</f>
        <v>03.10.2025</v>
      </c>
      <c r="F127" s="88">
        <f>VLOOKUP($C127,'Seznam aktivit'!$B$3:$H$32,4)</f>
        <v>1</v>
      </c>
      <c r="G127" s="89" t="str">
        <f>VLOOKUP($C127,'Seznam aktivit'!$B$3:$H$32,5)</f>
        <v>Projektové vzdělávání / projektová výuka</v>
      </c>
      <c r="H127" s="89" t="str">
        <f>VLOOKUP($C127,'Seznam aktivit'!$B$3:$H$32,6)</f>
        <v>Historické povědomí, výuka moderních dějin</v>
      </c>
      <c r="I127" s="90" t="str">
        <f>VLOOKUP($C127,'Seznam aktivit'!$B$3:$H$32,7)</f>
        <v>M. Hanuš</v>
      </c>
      <c r="J127" s="42">
        <f t="shared" si="15"/>
        <v>1</v>
      </c>
      <c r="K127" s="32">
        <f t="shared" si="16"/>
        <v>1</v>
      </c>
      <c r="L127" s="32">
        <f t="shared" si="16"/>
        <v>0</v>
      </c>
      <c r="M127" s="32">
        <f t="shared" si="19"/>
        <v>0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0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1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8Polák Filip</v>
      </c>
      <c r="C128" s="66">
        <v>8</v>
      </c>
      <c r="D128" s="12" t="s">
        <v>95</v>
      </c>
      <c r="E128" s="87" t="str">
        <f>VLOOKUP($C128,'Seznam aktivit'!$B$3:$H$32,2)</f>
        <v>03.10.2025</v>
      </c>
      <c r="F128" s="88">
        <f>VLOOKUP($C128,'Seznam aktivit'!$B$3:$H$32,4)</f>
        <v>1</v>
      </c>
      <c r="G128" s="89" t="str">
        <f>VLOOKUP($C128,'Seznam aktivit'!$B$3:$H$32,5)</f>
        <v>Projektové vzdělávání / projektová výuka</v>
      </c>
      <c r="H128" s="89" t="str">
        <f>VLOOKUP($C128,'Seznam aktivit'!$B$3:$H$32,6)</f>
        <v>Historické povědomí, výuka moderních dějin</v>
      </c>
      <c r="I128" s="90" t="str">
        <f>VLOOKUP($C128,'Seznam aktivit'!$B$3:$H$32,7)</f>
        <v>M. Hanuš</v>
      </c>
      <c r="J128" s="42">
        <f t="shared" si="15"/>
        <v>1</v>
      </c>
      <c r="K128" s="32">
        <f t="shared" si="16"/>
        <v>1</v>
      </c>
      <c r="L128" s="32">
        <f t="shared" si="16"/>
        <v>0</v>
      </c>
      <c r="M128" s="32">
        <f t="shared" si="19"/>
        <v>0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0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1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8Poliaková Julie</v>
      </c>
      <c r="C129" s="66">
        <v>8</v>
      </c>
      <c r="D129" s="12" t="s">
        <v>96</v>
      </c>
      <c r="E129" s="87" t="str">
        <f>VLOOKUP($C129,'Seznam aktivit'!$B$3:$H$32,2)</f>
        <v>03.10.2025</v>
      </c>
      <c r="F129" s="88">
        <f>VLOOKUP($C129,'Seznam aktivit'!$B$3:$H$32,4)</f>
        <v>1</v>
      </c>
      <c r="G129" s="89" t="str">
        <f>VLOOKUP($C129,'Seznam aktivit'!$B$3:$H$32,5)</f>
        <v>Projektové vzdělávání / projektová výuka</v>
      </c>
      <c r="H129" s="89" t="str">
        <f>VLOOKUP($C129,'Seznam aktivit'!$B$3:$H$32,6)</f>
        <v>Historické povědomí, výuka moderních dějin</v>
      </c>
      <c r="I129" s="90" t="str">
        <f>VLOOKUP($C129,'Seznam aktivit'!$B$3:$H$32,7)</f>
        <v>M. Hanuš</v>
      </c>
      <c r="J129" s="42">
        <f t="shared" si="15"/>
        <v>1</v>
      </c>
      <c r="K129" s="32">
        <f t="shared" si="16"/>
        <v>1</v>
      </c>
      <c r="L129" s="32">
        <f t="shared" si="16"/>
        <v>0</v>
      </c>
      <c r="M129" s="32">
        <f t="shared" si="19"/>
        <v>0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0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1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8Přecechtěl František</v>
      </c>
      <c r="C130" s="66">
        <v>8</v>
      </c>
      <c r="D130" s="12" t="s">
        <v>97</v>
      </c>
      <c r="E130" s="87" t="str">
        <f>VLOOKUP($C130,'Seznam aktivit'!$B$3:$H$32,2)</f>
        <v>03.10.2025</v>
      </c>
      <c r="F130" s="88">
        <f>VLOOKUP($C130,'Seznam aktivit'!$B$3:$H$32,4)</f>
        <v>1</v>
      </c>
      <c r="G130" s="89" t="str">
        <f>VLOOKUP($C130,'Seznam aktivit'!$B$3:$H$32,5)</f>
        <v>Projektové vzdělávání / projektová výuka</v>
      </c>
      <c r="H130" s="89" t="str">
        <f>VLOOKUP($C130,'Seznam aktivit'!$B$3:$H$32,6)</f>
        <v>Historické povědomí, výuka moderních dějin</v>
      </c>
      <c r="I130" s="90" t="str">
        <f>VLOOKUP($C130,'Seznam aktivit'!$B$3:$H$32,7)</f>
        <v>M. Hanuš</v>
      </c>
      <c r="J130" s="42">
        <f t="shared" si="15"/>
        <v>1</v>
      </c>
      <c r="K130" s="32">
        <f t="shared" si="16"/>
        <v>1</v>
      </c>
      <c r="L130" s="32">
        <f t="shared" si="16"/>
        <v>0</v>
      </c>
      <c r="M130" s="32">
        <f t="shared" si="19"/>
        <v>0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0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1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8Semančíková Anežka</v>
      </c>
      <c r="C131" s="66">
        <v>8</v>
      </c>
      <c r="D131" s="12" t="s">
        <v>98</v>
      </c>
      <c r="E131" s="87" t="str">
        <f>VLOOKUP($C131,'Seznam aktivit'!$B$3:$H$32,2)</f>
        <v>03.10.2025</v>
      </c>
      <c r="F131" s="88">
        <f>VLOOKUP($C131,'Seznam aktivit'!$B$3:$H$32,4)</f>
        <v>1</v>
      </c>
      <c r="G131" s="89" t="str">
        <f>VLOOKUP($C131,'Seznam aktivit'!$B$3:$H$32,5)</f>
        <v>Projektové vzdělávání / projektová výuka</v>
      </c>
      <c r="H131" s="89" t="str">
        <f>VLOOKUP($C131,'Seznam aktivit'!$B$3:$H$32,6)</f>
        <v>Historické povědomí, výuka moderních dějin</v>
      </c>
      <c r="I131" s="90" t="str">
        <f>VLOOKUP($C131,'Seznam aktivit'!$B$3:$H$32,7)</f>
        <v>M. Hanuš</v>
      </c>
      <c r="J131" s="42">
        <f t="shared" si="15"/>
        <v>1</v>
      </c>
      <c r="K131" s="32">
        <f t="shared" si="16"/>
        <v>1</v>
      </c>
      <c r="L131" s="32">
        <f t="shared" si="16"/>
        <v>0</v>
      </c>
      <c r="M131" s="32">
        <f t="shared" si="19"/>
        <v>0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0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1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8Soška Filip</v>
      </c>
      <c r="C132" s="66">
        <v>8</v>
      </c>
      <c r="D132" s="12" t="s">
        <v>99</v>
      </c>
      <c r="E132" s="87" t="str">
        <f>VLOOKUP($C132,'Seznam aktivit'!$B$3:$H$32,2)</f>
        <v>03.10.2025</v>
      </c>
      <c r="F132" s="88">
        <f>VLOOKUP($C132,'Seznam aktivit'!$B$3:$H$32,4)</f>
        <v>1</v>
      </c>
      <c r="G132" s="89" t="str">
        <f>VLOOKUP($C132,'Seznam aktivit'!$B$3:$H$32,5)</f>
        <v>Projektové vzdělávání / projektová výuka</v>
      </c>
      <c r="H132" s="89" t="str">
        <f>VLOOKUP($C132,'Seznam aktivit'!$B$3:$H$32,6)</f>
        <v>Historické povědomí, výuka moderních dějin</v>
      </c>
      <c r="I132" s="90" t="str">
        <f>VLOOKUP($C132,'Seznam aktivit'!$B$3:$H$32,7)</f>
        <v>M. Hanuš</v>
      </c>
      <c r="J132" s="42">
        <f t="shared" ref="J132:J195" si="24">IF(F132&lt;&gt;0,1,0)</f>
        <v>1</v>
      </c>
      <c r="K132" s="32">
        <f t="shared" ref="K132:L195" si="25">IF($D132&gt;0,IF($G132=K$2,1,0),0)</f>
        <v>1</v>
      </c>
      <c r="L132" s="32">
        <f t="shared" si="25"/>
        <v>0</v>
      </c>
      <c r="M132" s="32">
        <f t="shared" si="19"/>
        <v>0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0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1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8Trávníčková Anastázie</v>
      </c>
      <c r="C133" s="66">
        <v>8</v>
      </c>
      <c r="D133" s="12" t="s">
        <v>100</v>
      </c>
      <c r="E133" s="87" t="str">
        <f>VLOOKUP($C133,'Seznam aktivit'!$B$3:$H$32,2)</f>
        <v>03.10.2025</v>
      </c>
      <c r="F133" s="88">
        <f>VLOOKUP($C133,'Seznam aktivit'!$B$3:$H$32,4)</f>
        <v>1</v>
      </c>
      <c r="G133" s="89" t="str">
        <f>VLOOKUP($C133,'Seznam aktivit'!$B$3:$H$32,5)</f>
        <v>Projektové vzdělávání / projektová výuka</v>
      </c>
      <c r="H133" s="89" t="str">
        <f>VLOOKUP($C133,'Seznam aktivit'!$B$3:$H$32,6)</f>
        <v>Historické povědomí, výuka moderních dějin</v>
      </c>
      <c r="I133" s="90" t="str">
        <f>VLOOKUP($C133,'Seznam aktivit'!$B$3:$H$32,7)</f>
        <v>M. Hanuš</v>
      </c>
      <c r="J133" s="42">
        <f t="shared" si="24"/>
        <v>1</v>
      </c>
      <c r="K133" s="32">
        <f t="shared" si="25"/>
        <v>1</v>
      </c>
      <c r="L133" s="32">
        <f t="shared" si="25"/>
        <v>0</v>
      </c>
      <c r="M133" s="32">
        <f t="shared" si="19"/>
        <v>0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0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1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8Vala Tomáš</v>
      </c>
      <c r="C134" s="66">
        <v>8</v>
      </c>
      <c r="D134" s="12" t="s">
        <v>101</v>
      </c>
      <c r="E134" s="87" t="str">
        <f>VLOOKUP($C134,'Seznam aktivit'!$B$3:$H$32,2)</f>
        <v>03.10.2025</v>
      </c>
      <c r="F134" s="88">
        <f>VLOOKUP($C134,'Seznam aktivit'!$B$3:$H$32,4)</f>
        <v>1</v>
      </c>
      <c r="G134" s="89" t="str">
        <f>VLOOKUP($C134,'Seznam aktivit'!$B$3:$H$32,5)</f>
        <v>Projektové vzdělávání / projektová výuka</v>
      </c>
      <c r="H134" s="89" t="str">
        <f>VLOOKUP($C134,'Seznam aktivit'!$B$3:$H$32,6)</f>
        <v>Historické povědomí, výuka moderních dějin</v>
      </c>
      <c r="I134" s="90" t="str">
        <f>VLOOKUP($C134,'Seznam aktivit'!$B$3:$H$32,7)</f>
        <v>M. Hanuš</v>
      </c>
      <c r="J134" s="42">
        <f t="shared" si="24"/>
        <v>1</v>
      </c>
      <c r="K134" s="32">
        <f t="shared" si="25"/>
        <v>1</v>
      </c>
      <c r="L134" s="32">
        <f t="shared" si="25"/>
        <v>0</v>
      </c>
      <c r="M134" s="32">
        <f t="shared" si="19"/>
        <v>0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0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1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9Antala Štěpán</v>
      </c>
      <c r="C135" s="66">
        <v>9</v>
      </c>
      <c r="D135" s="12" t="s">
        <v>82</v>
      </c>
      <c r="E135" s="87" t="str">
        <f>VLOOKUP($C135,'Seznam aktivit'!$B$3:$H$32,2)</f>
        <v>08.10.2025</v>
      </c>
      <c r="F135" s="88">
        <f>VLOOKUP($C135,'Seznam aktivit'!$B$3:$H$32,4)</f>
        <v>1</v>
      </c>
      <c r="G135" s="89" t="str">
        <f>VLOOKUP($C135,'Seznam aktivit'!$B$3:$H$32,5)</f>
        <v>Projektové vzdělávání / projektová výuka</v>
      </c>
      <c r="H135" s="89" t="str">
        <f>VLOOKUP($C135,'Seznam aktivit'!$B$3:$H$32,6)</f>
        <v>Historické povědomí, výuka moderních dějin</v>
      </c>
      <c r="I135" s="90" t="str">
        <f>VLOOKUP($C135,'Seznam aktivit'!$B$3:$H$32,7)</f>
        <v>M. Hanuš</v>
      </c>
      <c r="J135" s="42">
        <f t="shared" si="24"/>
        <v>1</v>
      </c>
      <c r="K135" s="32">
        <f t="shared" si="25"/>
        <v>1</v>
      </c>
      <c r="L135" s="32">
        <f t="shared" si="25"/>
        <v>0</v>
      </c>
      <c r="M135" s="32">
        <f t="shared" si="19"/>
        <v>0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0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1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9Benč Patrik</v>
      </c>
      <c r="C136" s="66">
        <v>9</v>
      </c>
      <c r="D136" s="12" t="s">
        <v>83</v>
      </c>
      <c r="E136" s="87" t="str">
        <f>VLOOKUP($C136,'Seznam aktivit'!$B$3:$H$32,2)</f>
        <v>08.10.2025</v>
      </c>
      <c r="F136" s="88">
        <f>VLOOKUP($C136,'Seznam aktivit'!$B$3:$H$32,4)</f>
        <v>1</v>
      </c>
      <c r="G136" s="89" t="str">
        <f>VLOOKUP($C136,'Seznam aktivit'!$B$3:$H$32,5)</f>
        <v>Projektové vzdělávání / projektová výuka</v>
      </c>
      <c r="H136" s="89" t="str">
        <f>VLOOKUP($C136,'Seznam aktivit'!$B$3:$H$32,6)</f>
        <v>Historické povědomí, výuka moderních dějin</v>
      </c>
      <c r="I136" s="90" t="str">
        <f>VLOOKUP($C136,'Seznam aktivit'!$B$3:$H$32,7)</f>
        <v>M. Hanuš</v>
      </c>
      <c r="J136" s="42">
        <f t="shared" si="24"/>
        <v>1</v>
      </c>
      <c r="K136" s="32">
        <f t="shared" si="25"/>
        <v>1</v>
      </c>
      <c r="L136" s="32">
        <f t="shared" si="25"/>
        <v>0</v>
      </c>
      <c r="M136" s="32">
        <f t="shared" si="19"/>
        <v>0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0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1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9Boruvka Matyáš</v>
      </c>
      <c r="C137" s="66">
        <v>9</v>
      </c>
      <c r="D137" s="12" t="s">
        <v>84</v>
      </c>
      <c r="E137" s="87" t="str">
        <f>VLOOKUP($C137,'Seznam aktivit'!$B$3:$H$32,2)</f>
        <v>08.10.2025</v>
      </c>
      <c r="F137" s="88">
        <f>VLOOKUP($C137,'Seznam aktivit'!$B$3:$H$32,4)</f>
        <v>1</v>
      </c>
      <c r="G137" s="89" t="str">
        <f>VLOOKUP($C137,'Seznam aktivit'!$B$3:$H$32,5)</f>
        <v>Projektové vzdělávání / projektová výuka</v>
      </c>
      <c r="H137" s="89" t="str">
        <f>VLOOKUP($C137,'Seznam aktivit'!$B$3:$H$32,6)</f>
        <v>Historické povědomí, výuka moderních dějin</v>
      </c>
      <c r="I137" s="90" t="str">
        <f>VLOOKUP($C137,'Seznam aktivit'!$B$3:$H$32,7)</f>
        <v>M. Hanuš</v>
      </c>
      <c r="J137" s="42">
        <f t="shared" si="24"/>
        <v>1</v>
      </c>
      <c r="K137" s="32">
        <f t="shared" si="25"/>
        <v>1</v>
      </c>
      <c r="L137" s="32">
        <f t="shared" si="25"/>
        <v>0</v>
      </c>
      <c r="M137" s="32">
        <f t="shared" si="19"/>
        <v>0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0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1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9Brenkusová Vanesa</v>
      </c>
      <c r="C138" s="66">
        <v>9</v>
      </c>
      <c r="D138" s="12" t="s">
        <v>85</v>
      </c>
      <c r="E138" s="87" t="str">
        <f>VLOOKUP($C138,'Seznam aktivit'!$B$3:$H$32,2)</f>
        <v>08.10.2025</v>
      </c>
      <c r="F138" s="88">
        <f>VLOOKUP($C138,'Seznam aktivit'!$B$3:$H$32,4)</f>
        <v>1</v>
      </c>
      <c r="G138" s="89" t="str">
        <f>VLOOKUP($C138,'Seznam aktivit'!$B$3:$H$32,5)</f>
        <v>Projektové vzdělávání / projektová výuka</v>
      </c>
      <c r="H138" s="89" t="str">
        <f>VLOOKUP($C138,'Seznam aktivit'!$B$3:$H$32,6)</f>
        <v>Historické povědomí, výuka moderních dějin</v>
      </c>
      <c r="I138" s="90" t="str">
        <f>VLOOKUP($C138,'Seznam aktivit'!$B$3:$H$32,7)</f>
        <v>M. Hanuš</v>
      </c>
      <c r="J138" s="42">
        <f t="shared" si="24"/>
        <v>1</v>
      </c>
      <c r="K138" s="32">
        <f t="shared" si="25"/>
        <v>1</v>
      </c>
      <c r="L138" s="32">
        <f t="shared" si="25"/>
        <v>0</v>
      </c>
      <c r="M138" s="32">
        <f t="shared" si="19"/>
        <v>0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0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1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9Brixelová Elen</v>
      </c>
      <c r="C139" s="66">
        <v>9</v>
      </c>
      <c r="D139" s="12" t="s">
        <v>86</v>
      </c>
      <c r="E139" s="87" t="str">
        <f>VLOOKUP($C139,'Seznam aktivit'!$B$3:$H$32,2)</f>
        <v>08.10.2025</v>
      </c>
      <c r="F139" s="88">
        <f>VLOOKUP($C139,'Seznam aktivit'!$B$3:$H$32,4)</f>
        <v>1</v>
      </c>
      <c r="G139" s="89" t="str">
        <f>VLOOKUP($C139,'Seznam aktivit'!$B$3:$H$32,5)</f>
        <v>Projektové vzdělávání / projektová výuka</v>
      </c>
      <c r="H139" s="89" t="str">
        <f>VLOOKUP($C139,'Seznam aktivit'!$B$3:$H$32,6)</f>
        <v>Historické povědomí, výuka moderních dějin</v>
      </c>
      <c r="I139" s="90" t="str">
        <f>VLOOKUP($C139,'Seznam aktivit'!$B$3:$H$32,7)</f>
        <v>M. Hanuš</v>
      </c>
      <c r="J139" s="42">
        <f t="shared" si="24"/>
        <v>1</v>
      </c>
      <c r="K139" s="32">
        <f t="shared" si="25"/>
        <v>1</v>
      </c>
      <c r="L139" s="32">
        <f t="shared" si="25"/>
        <v>0</v>
      </c>
      <c r="M139" s="32">
        <f t="shared" si="19"/>
        <v>0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0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1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9Hájková Valérie</v>
      </c>
      <c r="C140" s="66">
        <v>9</v>
      </c>
      <c r="D140" s="12" t="s">
        <v>87</v>
      </c>
      <c r="E140" s="87" t="str">
        <f>VLOOKUP($C140,'Seznam aktivit'!$B$3:$H$32,2)</f>
        <v>08.10.2025</v>
      </c>
      <c r="F140" s="88">
        <f>VLOOKUP($C140,'Seznam aktivit'!$B$3:$H$32,4)</f>
        <v>1</v>
      </c>
      <c r="G140" s="89" t="str">
        <f>VLOOKUP($C140,'Seznam aktivit'!$B$3:$H$32,5)</f>
        <v>Projektové vzdělávání / projektová výuka</v>
      </c>
      <c r="H140" s="89" t="str">
        <f>VLOOKUP($C140,'Seznam aktivit'!$B$3:$H$32,6)</f>
        <v>Historické povědomí, výuka moderních dějin</v>
      </c>
      <c r="I140" s="90" t="str">
        <f>VLOOKUP($C140,'Seznam aktivit'!$B$3:$H$32,7)</f>
        <v>M. Hanuš</v>
      </c>
      <c r="J140" s="42">
        <f t="shared" si="24"/>
        <v>1</v>
      </c>
      <c r="K140" s="32">
        <f t="shared" si="25"/>
        <v>1</v>
      </c>
      <c r="L140" s="32">
        <f t="shared" si="25"/>
        <v>0</v>
      </c>
      <c r="M140" s="32">
        <f t="shared" si="19"/>
        <v>0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0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1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9Chudý Dominik</v>
      </c>
      <c r="C141" s="66">
        <v>9</v>
      </c>
      <c r="D141" s="12" t="s">
        <v>88</v>
      </c>
      <c r="E141" s="87" t="str">
        <f>VLOOKUP($C141,'Seznam aktivit'!$B$3:$H$32,2)</f>
        <v>08.10.2025</v>
      </c>
      <c r="F141" s="88">
        <f>VLOOKUP($C141,'Seznam aktivit'!$B$3:$H$32,4)</f>
        <v>1</v>
      </c>
      <c r="G141" s="89" t="str">
        <f>VLOOKUP($C141,'Seznam aktivit'!$B$3:$H$32,5)</f>
        <v>Projektové vzdělávání / projektová výuka</v>
      </c>
      <c r="H141" s="89" t="str">
        <f>VLOOKUP($C141,'Seznam aktivit'!$B$3:$H$32,6)</f>
        <v>Historické povědomí, výuka moderních dějin</v>
      </c>
      <c r="I141" s="90" t="str">
        <f>VLOOKUP($C141,'Seznam aktivit'!$B$3:$H$32,7)</f>
        <v>M. Hanuš</v>
      </c>
      <c r="J141" s="42">
        <f t="shared" si="24"/>
        <v>1</v>
      </c>
      <c r="K141" s="32">
        <f t="shared" si="25"/>
        <v>1</v>
      </c>
      <c r="L141" s="32">
        <f t="shared" si="25"/>
        <v>0</v>
      </c>
      <c r="M141" s="32">
        <f t="shared" si="19"/>
        <v>0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0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1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9Ježková Vendula</v>
      </c>
      <c r="C142" s="66">
        <v>9</v>
      </c>
      <c r="D142" s="12" t="s">
        <v>89</v>
      </c>
      <c r="E142" s="87" t="str">
        <f>VLOOKUP($C142,'Seznam aktivit'!$B$3:$H$32,2)</f>
        <v>08.10.2025</v>
      </c>
      <c r="F142" s="88">
        <f>VLOOKUP($C142,'Seznam aktivit'!$B$3:$H$32,4)</f>
        <v>1</v>
      </c>
      <c r="G142" s="89" t="str">
        <f>VLOOKUP($C142,'Seznam aktivit'!$B$3:$H$32,5)</f>
        <v>Projektové vzdělávání / projektová výuka</v>
      </c>
      <c r="H142" s="89" t="str">
        <f>VLOOKUP($C142,'Seznam aktivit'!$B$3:$H$32,6)</f>
        <v>Historické povědomí, výuka moderních dějin</v>
      </c>
      <c r="I142" s="90" t="str">
        <f>VLOOKUP($C142,'Seznam aktivit'!$B$3:$H$32,7)</f>
        <v>M. Hanuš</v>
      </c>
      <c r="J142" s="42">
        <f t="shared" si="24"/>
        <v>1</v>
      </c>
      <c r="K142" s="32">
        <f t="shared" si="25"/>
        <v>1</v>
      </c>
      <c r="L142" s="32">
        <f t="shared" si="25"/>
        <v>0</v>
      </c>
      <c r="M142" s="32">
        <f t="shared" si="19"/>
        <v>0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0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1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9Juráň Jindřich</v>
      </c>
      <c r="C143" s="66">
        <v>9</v>
      </c>
      <c r="D143" s="12" t="s">
        <v>90</v>
      </c>
      <c r="E143" s="87" t="str">
        <f>VLOOKUP($C143,'Seznam aktivit'!$B$3:$H$32,2)</f>
        <v>08.10.2025</v>
      </c>
      <c r="F143" s="88">
        <f>VLOOKUP($C143,'Seznam aktivit'!$B$3:$H$32,4)</f>
        <v>1</v>
      </c>
      <c r="G143" s="89" t="str">
        <f>VLOOKUP($C143,'Seznam aktivit'!$B$3:$H$32,5)</f>
        <v>Projektové vzdělávání / projektová výuka</v>
      </c>
      <c r="H143" s="89" t="str">
        <f>VLOOKUP($C143,'Seznam aktivit'!$B$3:$H$32,6)</f>
        <v>Historické povědomí, výuka moderních dějin</v>
      </c>
      <c r="I143" s="90" t="str">
        <f>VLOOKUP($C143,'Seznam aktivit'!$B$3:$H$32,7)</f>
        <v>M. Hanuš</v>
      </c>
      <c r="J143" s="42">
        <f t="shared" si="24"/>
        <v>1</v>
      </c>
      <c r="K143" s="32">
        <f t="shared" si="25"/>
        <v>1</v>
      </c>
      <c r="L143" s="32">
        <f t="shared" si="25"/>
        <v>0</v>
      </c>
      <c r="M143" s="32">
        <f t="shared" si="19"/>
        <v>0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0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1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9Krywdová Eliška</v>
      </c>
      <c r="C144" s="66">
        <v>9</v>
      </c>
      <c r="D144" s="12" t="s">
        <v>91</v>
      </c>
      <c r="E144" s="87" t="str">
        <f>VLOOKUP($C144,'Seznam aktivit'!$B$3:$H$32,2)</f>
        <v>08.10.2025</v>
      </c>
      <c r="F144" s="88">
        <f>VLOOKUP($C144,'Seznam aktivit'!$B$3:$H$32,4)</f>
        <v>1</v>
      </c>
      <c r="G144" s="89" t="str">
        <f>VLOOKUP($C144,'Seznam aktivit'!$B$3:$H$32,5)</f>
        <v>Projektové vzdělávání / projektová výuka</v>
      </c>
      <c r="H144" s="89" t="str">
        <f>VLOOKUP($C144,'Seznam aktivit'!$B$3:$H$32,6)</f>
        <v>Historické povědomí, výuka moderních dějin</v>
      </c>
      <c r="I144" s="90" t="str">
        <f>VLOOKUP($C144,'Seznam aktivit'!$B$3:$H$32,7)</f>
        <v>M. Hanuš</v>
      </c>
      <c r="J144" s="42">
        <f t="shared" si="24"/>
        <v>1</v>
      </c>
      <c r="K144" s="32">
        <f t="shared" si="25"/>
        <v>1</v>
      </c>
      <c r="L144" s="32">
        <f t="shared" si="25"/>
        <v>0</v>
      </c>
      <c r="M144" s="32">
        <f t="shared" si="19"/>
        <v>0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0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1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9Marko Radek</v>
      </c>
      <c r="C145" s="66">
        <v>9</v>
      </c>
      <c r="D145" s="12" t="s">
        <v>92</v>
      </c>
      <c r="E145" s="87" t="str">
        <f>VLOOKUP($C145,'Seznam aktivit'!$B$3:$H$32,2)</f>
        <v>08.10.2025</v>
      </c>
      <c r="F145" s="88">
        <f>VLOOKUP($C145,'Seznam aktivit'!$B$3:$H$32,4)</f>
        <v>1</v>
      </c>
      <c r="G145" s="89" t="str">
        <f>VLOOKUP($C145,'Seznam aktivit'!$B$3:$H$32,5)</f>
        <v>Projektové vzdělávání / projektová výuka</v>
      </c>
      <c r="H145" s="89" t="str">
        <f>VLOOKUP($C145,'Seznam aktivit'!$B$3:$H$32,6)</f>
        <v>Historické povědomí, výuka moderních dějin</v>
      </c>
      <c r="I145" s="90" t="str">
        <f>VLOOKUP($C145,'Seznam aktivit'!$B$3:$H$32,7)</f>
        <v>M. Hanuš</v>
      </c>
      <c r="J145" s="42">
        <f t="shared" si="24"/>
        <v>1</v>
      </c>
      <c r="K145" s="32">
        <f t="shared" si="25"/>
        <v>1</v>
      </c>
      <c r="L145" s="32">
        <f t="shared" si="25"/>
        <v>0</v>
      </c>
      <c r="M145" s="32">
        <f t="shared" si="19"/>
        <v>0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0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1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9Ondříšek Václav</v>
      </c>
      <c r="C146" s="66">
        <v>9</v>
      </c>
      <c r="D146" s="12" t="s">
        <v>93</v>
      </c>
      <c r="E146" s="87" t="str">
        <f>VLOOKUP($C146,'Seznam aktivit'!$B$3:$H$32,2)</f>
        <v>08.10.2025</v>
      </c>
      <c r="F146" s="88">
        <f>VLOOKUP($C146,'Seznam aktivit'!$B$3:$H$32,4)</f>
        <v>1</v>
      </c>
      <c r="G146" s="89" t="str">
        <f>VLOOKUP($C146,'Seznam aktivit'!$B$3:$H$32,5)</f>
        <v>Projektové vzdělávání / projektová výuka</v>
      </c>
      <c r="H146" s="89" t="str">
        <f>VLOOKUP($C146,'Seznam aktivit'!$B$3:$H$32,6)</f>
        <v>Historické povědomí, výuka moderních dějin</v>
      </c>
      <c r="I146" s="90" t="str">
        <f>VLOOKUP($C146,'Seznam aktivit'!$B$3:$H$32,7)</f>
        <v>M. Hanuš</v>
      </c>
      <c r="J146" s="42">
        <f t="shared" si="24"/>
        <v>1</v>
      </c>
      <c r="K146" s="32">
        <f t="shared" si="25"/>
        <v>1</v>
      </c>
      <c r="L146" s="32">
        <f t="shared" si="25"/>
        <v>0</v>
      </c>
      <c r="M146" s="32">
        <f t="shared" si="19"/>
        <v>0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0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1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9Polák Filip</v>
      </c>
      <c r="C147" s="66">
        <v>9</v>
      </c>
      <c r="D147" s="12" t="s">
        <v>95</v>
      </c>
      <c r="E147" s="87" t="str">
        <f>VLOOKUP($C147,'Seznam aktivit'!$B$3:$H$32,2)</f>
        <v>08.10.2025</v>
      </c>
      <c r="F147" s="88">
        <f>VLOOKUP($C147,'Seznam aktivit'!$B$3:$H$32,4)</f>
        <v>1</v>
      </c>
      <c r="G147" s="89" t="str">
        <f>VLOOKUP($C147,'Seznam aktivit'!$B$3:$H$32,5)</f>
        <v>Projektové vzdělávání / projektová výuka</v>
      </c>
      <c r="H147" s="89" t="str">
        <f>VLOOKUP($C147,'Seznam aktivit'!$B$3:$H$32,6)</f>
        <v>Historické povědomí, výuka moderních dějin</v>
      </c>
      <c r="I147" s="90" t="str">
        <f>VLOOKUP($C147,'Seznam aktivit'!$B$3:$H$32,7)</f>
        <v>M. Hanuš</v>
      </c>
      <c r="J147" s="42">
        <f t="shared" si="24"/>
        <v>1</v>
      </c>
      <c r="K147" s="32">
        <f t="shared" si="25"/>
        <v>1</v>
      </c>
      <c r="L147" s="32">
        <f t="shared" si="25"/>
        <v>0</v>
      </c>
      <c r="M147" s="32">
        <f t="shared" si="19"/>
        <v>0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0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1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9Poliaková Julie</v>
      </c>
      <c r="C148" s="66">
        <v>9</v>
      </c>
      <c r="D148" s="12" t="s">
        <v>96</v>
      </c>
      <c r="E148" s="87" t="str">
        <f>VLOOKUP($C148,'Seznam aktivit'!$B$3:$H$32,2)</f>
        <v>08.10.2025</v>
      </c>
      <c r="F148" s="88">
        <f>VLOOKUP($C148,'Seznam aktivit'!$B$3:$H$32,4)</f>
        <v>1</v>
      </c>
      <c r="G148" s="89" t="str">
        <f>VLOOKUP($C148,'Seznam aktivit'!$B$3:$H$32,5)</f>
        <v>Projektové vzdělávání / projektová výuka</v>
      </c>
      <c r="H148" s="89" t="str">
        <f>VLOOKUP($C148,'Seznam aktivit'!$B$3:$H$32,6)</f>
        <v>Historické povědomí, výuka moderních dějin</v>
      </c>
      <c r="I148" s="90" t="str">
        <f>VLOOKUP($C148,'Seznam aktivit'!$B$3:$H$32,7)</f>
        <v>M. Hanuš</v>
      </c>
      <c r="J148" s="42">
        <f t="shared" si="24"/>
        <v>1</v>
      </c>
      <c r="K148" s="32">
        <f t="shared" si="25"/>
        <v>1</v>
      </c>
      <c r="L148" s="32">
        <f t="shared" si="25"/>
        <v>0</v>
      </c>
      <c r="M148" s="32">
        <f t="shared" si="19"/>
        <v>0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0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1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9Přecechtěl František</v>
      </c>
      <c r="C149" s="66">
        <v>9</v>
      </c>
      <c r="D149" s="12" t="s">
        <v>97</v>
      </c>
      <c r="E149" s="87" t="str">
        <f>VLOOKUP($C149,'Seznam aktivit'!$B$3:$H$32,2)</f>
        <v>08.10.2025</v>
      </c>
      <c r="F149" s="88">
        <f>VLOOKUP($C149,'Seznam aktivit'!$B$3:$H$32,4)</f>
        <v>1</v>
      </c>
      <c r="G149" s="89" t="str">
        <f>VLOOKUP($C149,'Seznam aktivit'!$B$3:$H$32,5)</f>
        <v>Projektové vzdělávání / projektová výuka</v>
      </c>
      <c r="H149" s="89" t="str">
        <f>VLOOKUP($C149,'Seznam aktivit'!$B$3:$H$32,6)</f>
        <v>Historické povědomí, výuka moderních dějin</v>
      </c>
      <c r="I149" s="90" t="str">
        <f>VLOOKUP($C149,'Seznam aktivit'!$B$3:$H$32,7)</f>
        <v>M. Hanuš</v>
      </c>
      <c r="J149" s="42">
        <f t="shared" si="24"/>
        <v>1</v>
      </c>
      <c r="K149" s="32">
        <f t="shared" si="25"/>
        <v>1</v>
      </c>
      <c r="L149" s="32">
        <f t="shared" si="25"/>
        <v>0</v>
      </c>
      <c r="M149" s="32">
        <f t="shared" si="19"/>
        <v>0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0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1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9Semančíková Anežka</v>
      </c>
      <c r="C150" s="66">
        <v>9</v>
      </c>
      <c r="D150" s="12" t="s">
        <v>98</v>
      </c>
      <c r="E150" s="87" t="str">
        <f>VLOOKUP($C150,'Seznam aktivit'!$B$3:$H$32,2)</f>
        <v>08.10.2025</v>
      </c>
      <c r="F150" s="88">
        <f>VLOOKUP($C150,'Seznam aktivit'!$B$3:$H$32,4)</f>
        <v>1</v>
      </c>
      <c r="G150" s="89" t="str">
        <f>VLOOKUP($C150,'Seznam aktivit'!$B$3:$H$32,5)</f>
        <v>Projektové vzdělávání / projektová výuka</v>
      </c>
      <c r="H150" s="89" t="str">
        <f>VLOOKUP($C150,'Seznam aktivit'!$B$3:$H$32,6)</f>
        <v>Historické povědomí, výuka moderních dějin</v>
      </c>
      <c r="I150" s="90" t="str">
        <f>VLOOKUP($C150,'Seznam aktivit'!$B$3:$H$32,7)</f>
        <v>M. Hanuš</v>
      </c>
      <c r="J150" s="42">
        <f t="shared" si="24"/>
        <v>1</v>
      </c>
      <c r="K150" s="32">
        <f t="shared" si="25"/>
        <v>1</v>
      </c>
      <c r="L150" s="32">
        <f t="shared" si="25"/>
        <v>0</v>
      </c>
      <c r="M150" s="32">
        <f t="shared" si="19"/>
        <v>0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0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1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9Soška Filip</v>
      </c>
      <c r="C151" s="66">
        <v>9</v>
      </c>
      <c r="D151" s="12" t="s">
        <v>99</v>
      </c>
      <c r="E151" s="87" t="str">
        <f>VLOOKUP($C151,'Seznam aktivit'!$B$3:$H$32,2)</f>
        <v>08.10.2025</v>
      </c>
      <c r="F151" s="88">
        <f>VLOOKUP($C151,'Seznam aktivit'!$B$3:$H$32,4)</f>
        <v>1</v>
      </c>
      <c r="G151" s="89" t="str">
        <f>VLOOKUP($C151,'Seznam aktivit'!$B$3:$H$32,5)</f>
        <v>Projektové vzdělávání / projektová výuka</v>
      </c>
      <c r="H151" s="89" t="str">
        <f>VLOOKUP($C151,'Seznam aktivit'!$B$3:$H$32,6)</f>
        <v>Historické povědomí, výuka moderních dějin</v>
      </c>
      <c r="I151" s="90" t="str">
        <f>VLOOKUP($C151,'Seznam aktivit'!$B$3:$H$32,7)</f>
        <v>M. Hanuš</v>
      </c>
      <c r="J151" s="42">
        <f t="shared" si="24"/>
        <v>1</v>
      </c>
      <c r="K151" s="32">
        <f t="shared" si="25"/>
        <v>1</v>
      </c>
      <c r="L151" s="32">
        <f t="shared" si="25"/>
        <v>0</v>
      </c>
      <c r="M151" s="32">
        <f t="shared" si="28"/>
        <v>0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0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1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9Trávníčková Anastázie</v>
      </c>
      <c r="C152" s="66">
        <v>9</v>
      </c>
      <c r="D152" s="12" t="s">
        <v>100</v>
      </c>
      <c r="E152" s="87" t="str">
        <f>VLOOKUP($C152,'Seznam aktivit'!$B$3:$H$32,2)</f>
        <v>08.10.2025</v>
      </c>
      <c r="F152" s="88">
        <f>VLOOKUP($C152,'Seznam aktivit'!$B$3:$H$32,4)</f>
        <v>1</v>
      </c>
      <c r="G152" s="89" t="str">
        <f>VLOOKUP($C152,'Seznam aktivit'!$B$3:$H$32,5)</f>
        <v>Projektové vzdělávání / projektová výuka</v>
      </c>
      <c r="H152" s="89" t="str">
        <f>VLOOKUP($C152,'Seznam aktivit'!$B$3:$H$32,6)</f>
        <v>Historické povědomí, výuka moderních dějin</v>
      </c>
      <c r="I152" s="90" t="str">
        <f>VLOOKUP($C152,'Seznam aktivit'!$B$3:$H$32,7)</f>
        <v>M. Hanuš</v>
      </c>
      <c r="J152" s="42">
        <f t="shared" si="24"/>
        <v>1</v>
      </c>
      <c r="K152" s="32">
        <f t="shared" si="25"/>
        <v>1</v>
      </c>
      <c r="L152" s="32">
        <f t="shared" si="25"/>
        <v>0</v>
      </c>
      <c r="M152" s="32">
        <f t="shared" si="28"/>
        <v>0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0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1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9Vala Tomáš</v>
      </c>
      <c r="C153" s="66">
        <v>9</v>
      </c>
      <c r="D153" s="12" t="s">
        <v>101</v>
      </c>
      <c r="E153" s="87" t="str">
        <f>VLOOKUP($C153,'Seznam aktivit'!$B$3:$H$32,2)</f>
        <v>08.10.2025</v>
      </c>
      <c r="F153" s="88">
        <f>VLOOKUP($C153,'Seznam aktivit'!$B$3:$H$32,4)</f>
        <v>1</v>
      </c>
      <c r="G153" s="89" t="str">
        <f>VLOOKUP($C153,'Seznam aktivit'!$B$3:$H$32,5)</f>
        <v>Projektové vzdělávání / projektová výuka</v>
      </c>
      <c r="H153" s="89" t="str">
        <f>VLOOKUP($C153,'Seznam aktivit'!$B$3:$H$32,6)</f>
        <v>Historické povědomí, výuka moderních dějin</v>
      </c>
      <c r="I153" s="90" t="str">
        <f>VLOOKUP($C153,'Seznam aktivit'!$B$3:$H$32,7)</f>
        <v>M. Hanuš</v>
      </c>
      <c r="J153" s="42">
        <f t="shared" si="24"/>
        <v>1</v>
      </c>
      <c r="K153" s="32">
        <f t="shared" si="25"/>
        <v>1</v>
      </c>
      <c r="L153" s="32">
        <f t="shared" si="25"/>
        <v>0</v>
      </c>
      <c r="M153" s="32">
        <f t="shared" si="28"/>
        <v>0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0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1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10Antala Štěpán</v>
      </c>
      <c r="C154" s="66">
        <v>10</v>
      </c>
      <c r="D154" s="12" t="s">
        <v>82</v>
      </c>
      <c r="E154" s="87" t="str">
        <f>VLOOKUP($C154,'Seznam aktivit'!$B$3:$H$32,2)</f>
        <v>10.10.2025</v>
      </c>
      <c r="F154" s="88">
        <f>VLOOKUP($C154,'Seznam aktivit'!$B$3:$H$32,4)</f>
        <v>1</v>
      </c>
      <c r="G154" s="89" t="str">
        <f>VLOOKUP($C154,'Seznam aktivit'!$B$3:$H$32,5)</f>
        <v>Zážitková pedagogika</v>
      </c>
      <c r="H154" s="89" t="str">
        <f>VLOOKUP($C154,'Seznam aktivit'!$B$3:$H$32,6)</f>
        <v>Kulturní povědomí a vyjádření</v>
      </c>
      <c r="I154" s="90" t="str">
        <f>VLOOKUP($C154,'Seznam aktivit'!$B$3:$H$32,7)</f>
        <v>M. Hanuš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0</v>
      </c>
      <c r="N154" s="32">
        <f t="shared" si="28"/>
        <v>0</v>
      </c>
      <c r="O154" s="32">
        <f t="shared" si="28"/>
        <v>0</v>
      </c>
      <c r="P154" s="32">
        <f t="shared" si="28"/>
        <v>1</v>
      </c>
      <c r="Q154" s="32">
        <f t="shared" si="28"/>
        <v>0</v>
      </c>
      <c r="R154" s="32">
        <f t="shared" si="22"/>
        <v>0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1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10Benč Patrik</v>
      </c>
      <c r="C155" s="66">
        <v>10</v>
      </c>
      <c r="D155" s="12" t="s">
        <v>83</v>
      </c>
      <c r="E155" s="87" t="str">
        <f>VLOOKUP($C155,'Seznam aktivit'!$B$3:$H$32,2)</f>
        <v>10.10.2025</v>
      </c>
      <c r="F155" s="88">
        <f>VLOOKUP($C155,'Seznam aktivit'!$B$3:$H$32,4)</f>
        <v>1</v>
      </c>
      <c r="G155" s="89" t="str">
        <f>VLOOKUP($C155,'Seznam aktivit'!$B$3:$H$32,5)</f>
        <v>Zážitková pedagogika</v>
      </c>
      <c r="H155" s="89" t="str">
        <f>VLOOKUP($C155,'Seznam aktivit'!$B$3:$H$32,6)</f>
        <v>Kulturní povědomí a vyjádření</v>
      </c>
      <c r="I155" s="90" t="str">
        <f>VLOOKUP($C155,'Seznam aktivit'!$B$3:$H$32,7)</f>
        <v>M. Hanuš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0</v>
      </c>
      <c r="N155" s="32">
        <f t="shared" si="28"/>
        <v>0</v>
      </c>
      <c r="O155" s="32">
        <f t="shared" si="28"/>
        <v>0</v>
      </c>
      <c r="P155" s="32">
        <f t="shared" si="28"/>
        <v>1</v>
      </c>
      <c r="Q155" s="32">
        <f t="shared" si="28"/>
        <v>0</v>
      </c>
      <c r="R155" s="32">
        <f t="shared" si="22"/>
        <v>0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1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10Boruvka Matyáš</v>
      </c>
      <c r="C156" s="66">
        <v>10</v>
      </c>
      <c r="D156" s="12" t="s">
        <v>84</v>
      </c>
      <c r="E156" s="87" t="str">
        <f>VLOOKUP($C156,'Seznam aktivit'!$B$3:$H$32,2)</f>
        <v>10.10.2025</v>
      </c>
      <c r="F156" s="88">
        <f>VLOOKUP($C156,'Seznam aktivit'!$B$3:$H$32,4)</f>
        <v>1</v>
      </c>
      <c r="G156" s="89" t="str">
        <f>VLOOKUP($C156,'Seznam aktivit'!$B$3:$H$32,5)</f>
        <v>Zážitková pedagogika</v>
      </c>
      <c r="H156" s="89" t="str">
        <f>VLOOKUP($C156,'Seznam aktivit'!$B$3:$H$32,6)</f>
        <v>Kulturní povědomí a vyjádření</v>
      </c>
      <c r="I156" s="90" t="str">
        <f>VLOOKUP($C156,'Seznam aktivit'!$B$3:$H$32,7)</f>
        <v>M. Hanuš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0</v>
      </c>
      <c r="N156" s="32">
        <f t="shared" si="28"/>
        <v>0</v>
      </c>
      <c r="O156" s="32">
        <f t="shared" si="28"/>
        <v>0</v>
      </c>
      <c r="P156" s="32">
        <f t="shared" si="28"/>
        <v>1</v>
      </c>
      <c r="Q156" s="32">
        <f t="shared" si="28"/>
        <v>0</v>
      </c>
      <c r="R156" s="32">
        <f t="shared" si="22"/>
        <v>0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1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10Brenkusová Vanesa</v>
      </c>
      <c r="C157" s="66">
        <v>10</v>
      </c>
      <c r="D157" s="12" t="s">
        <v>85</v>
      </c>
      <c r="E157" s="87" t="str">
        <f>VLOOKUP($C157,'Seznam aktivit'!$B$3:$H$32,2)</f>
        <v>10.10.2025</v>
      </c>
      <c r="F157" s="88">
        <f>VLOOKUP($C157,'Seznam aktivit'!$B$3:$H$32,4)</f>
        <v>1</v>
      </c>
      <c r="G157" s="89" t="str">
        <f>VLOOKUP($C157,'Seznam aktivit'!$B$3:$H$32,5)</f>
        <v>Zážitková pedagogika</v>
      </c>
      <c r="H157" s="89" t="str">
        <f>VLOOKUP($C157,'Seznam aktivit'!$B$3:$H$32,6)</f>
        <v>Kulturní povědomí a vyjádření</v>
      </c>
      <c r="I157" s="90" t="str">
        <f>VLOOKUP($C157,'Seznam aktivit'!$B$3:$H$32,7)</f>
        <v>M. Hanuš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0</v>
      </c>
      <c r="N157" s="32">
        <f t="shared" si="28"/>
        <v>0</v>
      </c>
      <c r="O157" s="32">
        <f t="shared" si="28"/>
        <v>0</v>
      </c>
      <c r="P157" s="32">
        <f t="shared" si="28"/>
        <v>1</v>
      </c>
      <c r="Q157" s="32">
        <f t="shared" si="28"/>
        <v>0</v>
      </c>
      <c r="R157" s="32">
        <f t="shared" si="22"/>
        <v>0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1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10Brixelová Elen</v>
      </c>
      <c r="C158" s="66">
        <v>10</v>
      </c>
      <c r="D158" s="12" t="s">
        <v>86</v>
      </c>
      <c r="E158" s="87" t="str">
        <f>VLOOKUP($C158,'Seznam aktivit'!$B$3:$H$32,2)</f>
        <v>10.10.2025</v>
      </c>
      <c r="F158" s="88">
        <f>VLOOKUP($C158,'Seznam aktivit'!$B$3:$H$32,4)</f>
        <v>1</v>
      </c>
      <c r="G158" s="89" t="str">
        <f>VLOOKUP($C158,'Seznam aktivit'!$B$3:$H$32,5)</f>
        <v>Zážitková pedagogika</v>
      </c>
      <c r="H158" s="89" t="str">
        <f>VLOOKUP($C158,'Seznam aktivit'!$B$3:$H$32,6)</f>
        <v>Kulturní povědomí a vyjádření</v>
      </c>
      <c r="I158" s="90" t="str">
        <f>VLOOKUP($C158,'Seznam aktivit'!$B$3:$H$32,7)</f>
        <v>M. Hanuš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0</v>
      </c>
      <c r="N158" s="32">
        <f t="shared" si="28"/>
        <v>0</v>
      </c>
      <c r="O158" s="32">
        <f t="shared" si="28"/>
        <v>0</v>
      </c>
      <c r="P158" s="32">
        <f t="shared" si="28"/>
        <v>1</v>
      </c>
      <c r="Q158" s="32">
        <f t="shared" si="28"/>
        <v>0</v>
      </c>
      <c r="R158" s="32">
        <f t="shared" si="22"/>
        <v>0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1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10Hájková Valérie</v>
      </c>
      <c r="C159" s="66">
        <v>10</v>
      </c>
      <c r="D159" s="12" t="s">
        <v>87</v>
      </c>
      <c r="E159" s="87" t="str">
        <f>VLOOKUP($C159,'Seznam aktivit'!$B$3:$H$32,2)</f>
        <v>10.10.2025</v>
      </c>
      <c r="F159" s="88">
        <f>VLOOKUP($C159,'Seznam aktivit'!$B$3:$H$32,4)</f>
        <v>1</v>
      </c>
      <c r="G159" s="89" t="str">
        <f>VLOOKUP($C159,'Seznam aktivit'!$B$3:$H$32,5)</f>
        <v>Zážitková pedagogika</v>
      </c>
      <c r="H159" s="89" t="str">
        <f>VLOOKUP($C159,'Seznam aktivit'!$B$3:$H$32,6)</f>
        <v>Kulturní povědomí a vyjádření</v>
      </c>
      <c r="I159" s="90" t="str">
        <f>VLOOKUP($C159,'Seznam aktivit'!$B$3:$H$32,7)</f>
        <v>M. Hanuš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0</v>
      </c>
      <c r="N159" s="32">
        <f t="shared" si="28"/>
        <v>0</v>
      </c>
      <c r="O159" s="32">
        <f t="shared" si="28"/>
        <v>0</v>
      </c>
      <c r="P159" s="32">
        <f t="shared" si="28"/>
        <v>1</v>
      </c>
      <c r="Q159" s="32">
        <f t="shared" si="28"/>
        <v>0</v>
      </c>
      <c r="R159" s="32">
        <f t="shared" si="22"/>
        <v>0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1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10Chudý Dominik</v>
      </c>
      <c r="C160" s="66">
        <v>10</v>
      </c>
      <c r="D160" s="12" t="s">
        <v>88</v>
      </c>
      <c r="E160" s="87" t="str">
        <f>VLOOKUP($C160,'Seznam aktivit'!$B$3:$H$32,2)</f>
        <v>10.10.2025</v>
      </c>
      <c r="F160" s="88">
        <f>VLOOKUP($C160,'Seznam aktivit'!$B$3:$H$32,4)</f>
        <v>1</v>
      </c>
      <c r="G160" s="89" t="str">
        <f>VLOOKUP($C160,'Seznam aktivit'!$B$3:$H$32,5)</f>
        <v>Zážitková pedagogika</v>
      </c>
      <c r="H160" s="89" t="str">
        <f>VLOOKUP($C160,'Seznam aktivit'!$B$3:$H$32,6)</f>
        <v>Kulturní povědomí a vyjádření</v>
      </c>
      <c r="I160" s="90" t="str">
        <f>VLOOKUP($C160,'Seznam aktivit'!$B$3:$H$32,7)</f>
        <v>M. Hanuš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0</v>
      </c>
      <c r="N160" s="32">
        <f t="shared" si="28"/>
        <v>0</v>
      </c>
      <c r="O160" s="32">
        <f t="shared" si="28"/>
        <v>0</v>
      </c>
      <c r="P160" s="32">
        <f t="shared" si="28"/>
        <v>1</v>
      </c>
      <c r="Q160" s="32">
        <f t="shared" si="28"/>
        <v>0</v>
      </c>
      <c r="R160" s="32">
        <f t="shared" si="22"/>
        <v>0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1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10Ježková Vendula</v>
      </c>
      <c r="C161" s="66">
        <v>10</v>
      </c>
      <c r="D161" s="12" t="s">
        <v>89</v>
      </c>
      <c r="E161" s="87" t="str">
        <f>VLOOKUP($C161,'Seznam aktivit'!$B$3:$H$32,2)</f>
        <v>10.10.2025</v>
      </c>
      <c r="F161" s="88">
        <f>VLOOKUP($C161,'Seznam aktivit'!$B$3:$H$32,4)</f>
        <v>1</v>
      </c>
      <c r="G161" s="89" t="str">
        <f>VLOOKUP($C161,'Seznam aktivit'!$B$3:$H$32,5)</f>
        <v>Zážitková pedagogika</v>
      </c>
      <c r="H161" s="89" t="str">
        <f>VLOOKUP($C161,'Seznam aktivit'!$B$3:$H$32,6)</f>
        <v>Kulturní povědomí a vyjádření</v>
      </c>
      <c r="I161" s="90" t="str">
        <f>VLOOKUP($C161,'Seznam aktivit'!$B$3:$H$32,7)</f>
        <v>M. Hanuš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0</v>
      </c>
      <c r="N161" s="32">
        <f t="shared" si="28"/>
        <v>0</v>
      </c>
      <c r="O161" s="32">
        <f t="shared" si="28"/>
        <v>0</v>
      </c>
      <c r="P161" s="32">
        <f t="shared" si="28"/>
        <v>1</v>
      </c>
      <c r="Q161" s="32">
        <f t="shared" si="28"/>
        <v>0</v>
      </c>
      <c r="R161" s="32">
        <f t="shared" si="22"/>
        <v>0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1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10Juráň Jindřich</v>
      </c>
      <c r="C162" s="66">
        <v>10</v>
      </c>
      <c r="D162" s="12" t="s">
        <v>90</v>
      </c>
      <c r="E162" s="87" t="str">
        <f>VLOOKUP($C162,'Seznam aktivit'!$B$3:$H$32,2)</f>
        <v>10.10.2025</v>
      </c>
      <c r="F162" s="88">
        <f>VLOOKUP($C162,'Seznam aktivit'!$B$3:$H$32,4)</f>
        <v>1</v>
      </c>
      <c r="G162" s="89" t="str">
        <f>VLOOKUP($C162,'Seznam aktivit'!$B$3:$H$32,5)</f>
        <v>Zážitková pedagogika</v>
      </c>
      <c r="H162" s="89" t="str">
        <f>VLOOKUP($C162,'Seznam aktivit'!$B$3:$H$32,6)</f>
        <v>Kulturní povědomí a vyjádření</v>
      </c>
      <c r="I162" s="90" t="str">
        <f>VLOOKUP($C162,'Seznam aktivit'!$B$3:$H$32,7)</f>
        <v>M. Hanuš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0</v>
      </c>
      <c r="N162" s="32">
        <f t="shared" si="28"/>
        <v>0</v>
      </c>
      <c r="O162" s="32">
        <f t="shared" si="28"/>
        <v>0</v>
      </c>
      <c r="P162" s="32">
        <f t="shared" si="28"/>
        <v>1</v>
      </c>
      <c r="Q162" s="32">
        <f t="shared" si="28"/>
        <v>0</v>
      </c>
      <c r="R162" s="32">
        <f t="shared" si="22"/>
        <v>0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1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10Krywdová Eliška</v>
      </c>
      <c r="C163" s="66">
        <v>10</v>
      </c>
      <c r="D163" s="12" t="s">
        <v>91</v>
      </c>
      <c r="E163" s="87" t="str">
        <f>VLOOKUP($C163,'Seznam aktivit'!$B$3:$H$32,2)</f>
        <v>10.10.2025</v>
      </c>
      <c r="F163" s="88">
        <f>VLOOKUP($C163,'Seznam aktivit'!$B$3:$H$32,4)</f>
        <v>1</v>
      </c>
      <c r="G163" s="89" t="str">
        <f>VLOOKUP($C163,'Seznam aktivit'!$B$3:$H$32,5)</f>
        <v>Zážitková pedagogika</v>
      </c>
      <c r="H163" s="89" t="str">
        <f>VLOOKUP($C163,'Seznam aktivit'!$B$3:$H$32,6)</f>
        <v>Kulturní povědomí a vyjádření</v>
      </c>
      <c r="I163" s="90" t="str">
        <f>VLOOKUP($C163,'Seznam aktivit'!$B$3:$H$32,7)</f>
        <v>M. Hanuš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0</v>
      </c>
      <c r="N163" s="32">
        <f t="shared" si="28"/>
        <v>0</v>
      </c>
      <c r="O163" s="32">
        <f t="shared" si="28"/>
        <v>0</v>
      </c>
      <c r="P163" s="32">
        <f t="shared" si="28"/>
        <v>1</v>
      </c>
      <c r="Q163" s="32">
        <f t="shared" si="28"/>
        <v>0</v>
      </c>
      <c r="R163" s="32">
        <f t="shared" si="22"/>
        <v>0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1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10Marko Radek</v>
      </c>
      <c r="C164" s="66">
        <v>10</v>
      </c>
      <c r="D164" s="12" t="s">
        <v>92</v>
      </c>
      <c r="E164" s="87" t="str">
        <f>VLOOKUP($C164,'Seznam aktivit'!$B$3:$H$32,2)</f>
        <v>10.10.2025</v>
      </c>
      <c r="F164" s="88">
        <f>VLOOKUP($C164,'Seznam aktivit'!$B$3:$H$32,4)</f>
        <v>1</v>
      </c>
      <c r="G164" s="89" t="str">
        <f>VLOOKUP($C164,'Seznam aktivit'!$B$3:$H$32,5)</f>
        <v>Zážitková pedagogika</v>
      </c>
      <c r="H164" s="89" t="str">
        <f>VLOOKUP($C164,'Seznam aktivit'!$B$3:$H$32,6)</f>
        <v>Kulturní povědomí a vyjádření</v>
      </c>
      <c r="I164" s="90" t="str">
        <f>VLOOKUP($C164,'Seznam aktivit'!$B$3:$H$32,7)</f>
        <v>M. Hanuš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0</v>
      </c>
      <c r="N164" s="32">
        <f t="shared" si="28"/>
        <v>0</v>
      </c>
      <c r="O164" s="32">
        <f t="shared" si="28"/>
        <v>0</v>
      </c>
      <c r="P164" s="32">
        <f t="shared" si="28"/>
        <v>1</v>
      </c>
      <c r="Q164" s="32">
        <f t="shared" si="28"/>
        <v>0</v>
      </c>
      <c r="R164" s="32">
        <f t="shared" si="22"/>
        <v>0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1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10Ondříšek Václav</v>
      </c>
      <c r="C165" s="66">
        <v>10</v>
      </c>
      <c r="D165" s="12" t="s">
        <v>93</v>
      </c>
      <c r="E165" s="87" t="str">
        <f>VLOOKUP($C165,'Seznam aktivit'!$B$3:$H$32,2)</f>
        <v>10.10.2025</v>
      </c>
      <c r="F165" s="88">
        <f>VLOOKUP($C165,'Seznam aktivit'!$B$3:$H$32,4)</f>
        <v>1</v>
      </c>
      <c r="G165" s="89" t="str">
        <f>VLOOKUP($C165,'Seznam aktivit'!$B$3:$H$32,5)</f>
        <v>Zážitková pedagogika</v>
      </c>
      <c r="H165" s="89" t="str">
        <f>VLOOKUP($C165,'Seznam aktivit'!$B$3:$H$32,6)</f>
        <v>Kulturní povědomí a vyjádření</v>
      </c>
      <c r="I165" s="90" t="str">
        <f>VLOOKUP($C165,'Seznam aktivit'!$B$3:$H$32,7)</f>
        <v>M. Hanuš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0</v>
      </c>
      <c r="N165" s="32">
        <f t="shared" si="28"/>
        <v>0</v>
      </c>
      <c r="O165" s="32">
        <f t="shared" si="28"/>
        <v>0</v>
      </c>
      <c r="P165" s="32">
        <f t="shared" si="28"/>
        <v>1</v>
      </c>
      <c r="Q165" s="32">
        <f t="shared" si="28"/>
        <v>0</v>
      </c>
      <c r="R165" s="32">
        <f t="shared" si="22"/>
        <v>0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1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10Patrman Ondřej</v>
      </c>
      <c r="C166" s="66">
        <v>10</v>
      </c>
      <c r="D166" s="12" t="s">
        <v>94</v>
      </c>
      <c r="E166" s="87" t="str">
        <f>VLOOKUP($C166,'Seznam aktivit'!$B$3:$H$32,2)</f>
        <v>10.10.2025</v>
      </c>
      <c r="F166" s="88">
        <f>VLOOKUP($C166,'Seznam aktivit'!$B$3:$H$32,4)</f>
        <v>1</v>
      </c>
      <c r="G166" s="89" t="str">
        <f>VLOOKUP($C166,'Seznam aktivit'!$B$3:$H$32,5)</f>
        <v>Zážitková pedagogika</v>
      </c>
      <c r="H166" s="89" t="str">
        <f>VLOOKUP($C166,'Seznam aktivit'!$B$3:$H$32,6)</f>
        <v>Kulturní povědomí a vyjádření</v>
      </c>
      <c r="I166" s="90" t="str">
        <f>VLOOKUP($C166,'Seznam aktivit'!$B$3:$H$32,7)</f>
        <v>M. Hanuš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0</v>
      </c>
      <c r="N166" s="32">
        <f t="shared" si="28"/>
        <v>0</v>
      </c>
      <c r="O166" s="32">
        <f t="shared" si="28"/>
        <v>0</v>
      </c>
      <c r="P166" s="32">
        <f t="shared" si="28"/>
        <v>1</v>
      </c>
      <c r="Q166" s="32">
        <f t="shared" si="28"/>
        <v>0</v>
      </c>
      <c r="R166" s="32">
        <f t="shared" si="22"/>
        <v>0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1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10Poliaková Julie</v>
      </c>
      <c r="C167" s="66">
        <v>10</v>
      </c>
      <c r="D167" s="12" t="s">
        <v>96</v>
      </c>
      <c r="E167" s="87" t="str">
        <f>VLOOKUP($C167,'Seznam aktivit'!$B$3:$H$32,2)</f>
        <v>10.10.2025</v>
      </c>
      <c r="F167" s="88">
        <f>VLOOKUP($C167,'Seznam aktivit'!$B$3:$H$32,4)</f>
        <v>1</v>
      </c>
      <c r="G167" s="89" t="str">
        <f>VLOOKUP($C167,'Seznam aktivit'!$B$3:$H$32,5)</f>
        <v>Zážitková pedagogika</v>
      </c>
      <c r="H167" s="89" t="str">
        <f>VLOOKUP($C167,'Seznam aktivit'!$B$3:$H$32,6)</f>
        <v>Kulturní povědomí a vyjádření</v>
      </c>
      <c r="I167" s="90" t="str">
        <f>VLOOKUP($C167,'Seznam aktivit'!$B$3:$H$32,7)</f>
        <v>M. Hanuš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0</v>
      </c>
      <c r="N167" s="32">
        <f t="shared" si="28"/>
        <v>0</v>
      </c>
      <c r="O167" s="32">
        <f t="shared" si="28"/>
        <v>0</v>
      </c>
      <c r="P167" s="32">
        <f t="shared" si="28"/>
        <v>1</v>
      </c>
      <c r="Q167" s="32">
        <f t="shared" si="28"/>
        <v>0</v>
      </c>
      <c r="R167" s="32">
        <f t="shared" si="22"/>
        <v>0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1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10Přecechtěl František</v>
      </c>
      <c r="C168" s="66">
        <v>10</v>
      </c>
      <c r="D168" s="12" t="s">
        <v>97</v>
      </c>
      <c r="E168" s="87" t="str">
        <f>VLOOKUP($C168,'Seznam aktivit'!$B$3:$H$32,2)</f>
        <v>10.10.2025</v>
      </c>
      <c r="F168" s="88">
        <f>VLOOKUP($C168,'Seznam aktivit'!$B$3:$H$32,4)</f>
        <v>1</v>
      </c>
      <c r="G168" s="89" t="str">
        <f>VLOOKUP($C168,'Seznam aktivit'!$B$3:$H$32,5)</f>
        <v>Zážitková pedagogika</v>
      </c>
      <c r="H168" s="89" t="str">
        <f>VLOOKUP($C168,'Seznam aktivit'!$B$3:$H$32,6)</f>
        <v>Kulturní povědomí a vyjádření</v>
      </c>
      <c r="I168" s="90" t="str">
        <f>VLOOKUP($C168,'Seznam aktivit'!$B$3:$H$32,7)</f>
        <v>M. Hanuš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0</v>
      </c>
      <c r="N168" s="32">
        <f t="shared" si="28"/>
        <v>0</v>
      </c>
      <c r="O168" s="32">
        <f t="shared" si="28"/>
        <v>0</v>
      </c>
      <c r="P168" s="32">
        <f t="shared" si="28"/>
        <v>1</v>
      </c>
      <c r="Q168" s="32">
        <f t="shared" si="28"/>
        <v>0</v>
      </c>
      <c r="R168" s="32">
        <f t="shared" si="22"/>
        <v>0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1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10Semančíková Anežka</v>
      </c>
      <c r="C169" s="66">
        <v>10</v>
      </c>
      <c r="D169" s="12" t="s">
        <v>98</v>
      </c>
      <c r="E169" s="87" t="str">
        <f>VLOOKUP($C169,'Seznam aktivit'!$B$3:$H$32,2)</f>
        <v>10.10.2025</v>
      </c>
      <c r="F169" s="88">
        <f>VLOOKUP($C169,'Seznam aktivit'!$B$3:$H$32,4)</f>
        <v>1</v>
      </c>
      <c r="G169" s="89" t="str">
        <f>VLOOKUP($C169,'Seznam aktivit'!$B$3:$H$32,5)</f>
        <v>Zážitková pedagogika</v>
      </c>
      <c r="H169" s="89" t="str">
        <f>VLOOKUP($C169,'Seznam aktivit'!$B$3:$H$32,6)</f>
        <v>Kulturní povědomí a vyjádření</v>
      </c>
      <c r="I169" s="90" t="str">
        <f>VLOOKUP($C169,'Seznam aktivit'!$B$3:$H$32,7)</f>
        <v>M. Hanuš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0</v>
      </c>
      <c r="N169" s="32">
        <f t="shared" si="28"/>
        <v>0</v>
      </c>
      <c r="O169" s="32">
        <f t="shared" si="28"/>
        <v>0</v>
      </c>
      <c r="P169" s="32">
        <f t="shared" si="28"/>
        <v>1</v>
      </c>
      <c r="Q169" s="32">
        <f t="shared" si="28"/>
        <v>0</v>
      </c>
      <c r="R169" s="32">
        <f t="shared" si="22"/>
        <v>0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1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10Soška Filip</v>
      </c>
      <c r="C170" s="66">
        <v>10</v>
      </c>
      <c r="D170" s="12" t="s">
        <v>99</v>
      </c>
      <c r="E170" s="87" t="str">
        <f>VLOOKUP($C170,'Seznam aktivit'!$B$3:$H$32,2)</f>
        <v>10.10.2025</v>
      </c>
      <c r="F170" s="88">
        <f>VLOOKUP($C170,'Seznam aktivit'!$B$3:$H$32,4)</f>
        <v>1</v>
      </c>
      <c r="G170" s="89" t="str">
        <f>VLOOKUP($C170,'Seznam aktivit'!$B$3:$H$32,5)</f>
        <v>Zážitková pedagogika</v>
      </c>
      <c r="H170" s="89" t="str">
        <f>VLOOKUP($C170,'Seznam aktivit'!$B$3:$H$32,6)</f>
        <v>Kulturní povědomí a vyjádření</v>
      </c>
      <c r="I170" s="90" t="str">
        <f>VLOOKUP($C170,'Seznam aktivit'!$B$3:$H$32,7)</f>
        <v>M. Hanuš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0</v>
      </c>
      <c r="N170" s="32">
        <f t="shared" si="28"/>
        <v>0</v>
      </c>
      <c r="O170" s="32">
        <f t="shared" si="28"/>
        <v>0</v>
      </c>
      <c r="P170" s="32">
        <f t="shared" si="28"/>
        <v>1</v>
      </c>
      <c r="Q170" s="32">
        <f t="shared" si="28"/>
        <v>0</v>
      </c>
      <c r="R170" s="32">
        <f t="shared" si="22"/>
        <v>0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1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10Trávníčková Anastázie</v>
      </c>
      <c r="C171" s="66">
        <v>10</v>
      </c>
      <c r="D171" s="12" t="s">
        <v>100</v>
      </c>
      <c r="E171" s="87" t="str">
        <f>VLOOKUP($C171,'Seznam aktivit'!$B$3:$H$32,2)</f>
        <v>10.10.2025</v>
      </c>
      <c r="F171" s="88">
        <f>VLOOKUP($C171,'Seznam aktivit'!$B$3:$H$32,4)</f>
        <v>1</v>
      </c>
      <c r="G171" s="89" t="str">
        <f>VLOOKUP($C171,'Seznam aktivit'!$B$3:$H$32,5)</f>
        <v>Zážitková pedagogika</v>
      </c>
      <c r="H171" s="89" t="str">
        <f>VLOOKUP($C171,'Seznam aktivit'!$B$3:$H$32,6)</f>
        <v>Kulturní povědomí a vyjádření</v>
      </c>
      <c r="I171" s="90" t="str">
        <f>VLOOKUP($C171,'Seznam aktivit'!$B$3:$H$32,7)</f>
        <v>M. Hanuš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0</v>
      </c>
      <c r="N171" s="32">
        <f t="shared" si="28"/>
        <v>0</v>
      </c>
      <c r="O171" s="32">
        <f t="shared" si="28"/>
        <v>0</v>
      </c>
      <c r="P171" s="32">
        <f t="shared" si="28"/>
        <v>1</v>
      </c>
      <c r="Q171" s="32">
        <f t="shared" si="28"/>
        <v>0</v>
      </c>
      <c r="R171" s="32">
        <f t="shared" si="22"/>
        <v>0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1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10Vala Tomáš</v>
      </c>
      <c r="C172" s="66">
        <v>10</v>
      </c>
      <c r="D172" s="12" t="s">
        <v>101</v>
      </c>
      <c r="E172" s="87" t="str">
        <f>VLOOKUP($C172,'Seznam aktivit'!$B$3:$H$32,2)</f>
        <v>10.10.2025</v>
      </c>
      <c r="F172" s="88">
        <f>VLOOKUP($C172,'Seznam aktivit'!$B$3:$H$32,4)</f>
        <v>1</v>
      </c>
      <c r="G172" s="89" t="str">
        <f>VLOOKUP($C172,'Seznam aktivit'!$B$3:$H$32,5)</f>
        <v>Zážitková pedagogika</v>
      </c>
      <c r="H172" s="89" t="str">
        <f>VLOOKUP($C172,'Seznam aktivit'!$B$3:$H$32,6)</f>
        <v>Kulturní povědomí a vyjádření</v>
      </c>
      <c r="I172" s="90" t="str">
        <f>VLOOKUP($C172,'Seznam aktivit'!$B$3:$H$32,7)</f>
        <v>M. Hanuš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0</v>
      </c>
      <c r="N172" s="32">
        <f t="shared" si="28"/>
        <v>0</v>
      </c>
      <c r="O172" s="32">
        <f t="shared" si="28"/>
        <v>0</v>
      </c>
      <c r="P172" s="32">
        <f t="shared" si="28"/>
        <v>1</v>
      </c>
      <c r="Q172" s="32">
        <f t="shared" si="28"/>
        <v>0</v>
      </c>
      <c r="R172" s="32">
        <f t="shared" si="22"/>
        <v>0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1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11Boruvka Matyáš</v>
      </c>
      <c r="C173" s="66">
        <v>11</v>
      </c>
      <c r="D173" s="12" t="s">
        <v>84</v>
      </c>
      <c r="E173" s="87" t="str">
        <f>VLOOKUP($C173,'Seznam aktivit'!$B$3:$H$32,2)</f>
        <v>15.10.2025</v>
      </c>
      <c r="F173" s="88">
        <f>VLOOKUP($C173,'Seznam aktivit'!$B$3:$H$32,4)</f>
        <v>1</v>
      </c>
      <c r="G173" s="89" t="str">
        <f>VLOOKUP($C173,'Seznam aktivit'!$B$3:$H$32,5)</f>
        <v>Zážitková pedagogika</v>
      </c>
      <c r="H173" s="89" t="str">
        <f>VLOOKUP($C173,'Seznam aktivit'!$B$3:$H$32,6)</f>
        <v>Kulturní povědomí a vyjádření</v>
      </c>
      <c r="I173" s="90" t="str">
        <f>VLOOKUP($C173,'Seznam aktivit'!$B$3:$H$32,7)</f>
        <v>M. Hanuš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0</v>
      </c>
      <c r="N173" s="32">
        <f t="shared" si="28"/>
        <v>0</v>
      </c>
      <c r="O173" s="32">
        <f t="shared" si="28"/>
        <v>0</v>
      </c>
      <c r="P173" s="32">
        <f t="shared" si="28"/>
        <v>1</v>
      </c>
      <c r="Q173" s="32">
        <f t="shared" si="28"/>
        <v>0</v>
      </c>
      <c r="R173" s="32">
        <f t="shared" si="22"/>
        <v>0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1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11Brenkusová Vanesa</v>
      </c>
      <c r="C174" s="66">
        <v>11</v>
      </c>
      <c r="D174" s="12" t="s">
        <v>85</v>
      </c>
      <c r="E174" s="87" t="str">
        <f>VLOOKUP($C174,'Seznam aktivit'!$B$3:$H$32,2)</f>
        <v>15.10.2025</v>
      </c>
      <c r="F174" s="88">
        <f>VLOOKUP($C174,'Seznam aktivit'!$B$3:$H$32,4)</f>
        <v>1</v>
      </c>
      <c r="G174" s="89" t="str">
        <f>VLOOKUP($C174,'Seznam aktivit'!$B$3:$H$32,5)</f>
        <v>Zážitková pedagogika</v>
      </c>
      <c r="H174" s="89" t="str">
        <f>VLOOKUP($C174,'Seznam aktivit'!$B$3:$H$32,6)</f>
        <v>Kulturní povědomí a vyjádření</v>
      </c>
      <c r="I174" s="90" t="str">
        <f>VLOOKUP($C174,'Seznam aktivit'!$B$3:$H$32,7)</f>
        <v>M. Hanuš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0</v>
      </c>
      <c r="N174" s="32">
        <f t="shared" si="28"/>
        <v>0</v>
      </c>
      <c r="O174" s="32">
        <f t="shared" si="28"/>
        <v>0</v>
      </c>
      <c r="P174" s="32">
        <f t="shared" si="28"/>
        <v>1</v>
      </c>
      <c r="Q174" s="32">
        <f t="shared" si="28"/>
        <v>0</v>
      </c>
      <c r="R174" s="32">
        <f t="shared" si="22"/>
        <v>0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1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11Brixelová Elen</v>
      </c>
      <c r="C175" s="66">
        <v>11</v>
      </c>
      <c r="D175" s="12" t="s">
        <v>86</v>
      </c>
      <c r="E175" s="87" t="str">
        <f>VLOOKUP($C175,'Seznam aktivit'!$B$3:$H$32,2)</f>
        <v>15.10.2025</v>
      </c>
      <c r="F175" s="88">
        <f>VLOOKUP($C175,'Seznam aktivit'!$B$3:$H$32,4)</f>
        <v>1</v>
      </c>
      <c r="G175" s="89" t="str">
        <f>VLOOKUP($C175,'Seznam aktivit'!$B$3:$H$32,5)</f>
        <v>Zážitková pedagogika</v>
      </c>
      <c r="H175" s="89" t="str">
        <f>VLOOKUP($C175,'Seznam aktivit'!$B$3:$H$32,6)</f>
        <v>Kulturní povědomí a vyjádření</v>
      </c>
      <c r="I175" s="90" t="str">
        <f>VLOOKUP($C175,'Seznam aktivit'!$B$3:$H$32,7)</f>
        <v>M. Hanuš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0</v>
      </c>
      <c r="N175" s="32">
        <f t="shared" si="28"/>
        <v>0</v>
      </c>
      <c r="O175" s="32">
        <f t="shared" si="28"/>
        <v>0</v>
      </c>
      <c r="P175" s="32">
        <f t="shared" si="28"/>
        <v>1</v>
      </c>
      <c r="Q175" s="32">
        <f t="shared" si="28"/>
        <v>0</v>
      </c>
      <c r="R175" s="32">
        <f t="shared" si="22"/>
        <v>0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1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11Hájková Valérie</v>
      </c>
      <c r="C176" s="66">
        <v>11</v>
      </c>
      <c r="D176" s="12" t="s">
        <v>87</v>
      </c>
      <c r="E176" s="87" t="str">
        <f>VLOOKUP($C176,'Seznam aktivit'!$B$3:$H$32,2)</f>
        <v>15.10.2025</v>
      </c>
      <c r="F176" s="88">
        <f>VLOOKUP($C176,'Seznam aktivit'!$B$3:$H$32,4)</f>
        <v>1</v>
      </c>
      <c r="G176" s="89" t="str">
        <f>VLOOKUP($C176,'Seznam aktivit'!$B$3:$H$32,5)</f>
        <v>Zážitková pedagogika</v>
      </c>
      <c r="H176" s="89" t="str">
        <f>VLOOKUP($C176,'Seznam aktivit'!$B$3:$H$32,6)</f>
        <v>Kulturní povědomí a vyjádření</v>
      </c>
      <c r="I176" s="90" t="str">
        <f>VLOOKUP($C176,'Seznam aktivit'!$B$3:$H$32,7)</f>
        <v>M. Hanuš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0</v>
      </c>
      <c r="N176" s="32">
        <f t="shared" si="28"/>
        <v>0</v>
      </c>
      <c r="O176" s="32">
        <f t="shared" si="28"/>
        <v>0</v>
      </c>
      <c r="P176" s="32">
        <f t="shared" si="28"/>
        <v>1</v>
      </c>
      <c r="Q176" s="32">
        <f t="shared" si="28"/>
        <v>0</v>
      </c>
      <c r="R176" s="32">
        <f t="shared" si="22"/>
        <v>0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1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11Krywdová Eliška</v>
      </c>
      <c r="C177" s="66">
        <v>11</v>
      </c>
      <c r="D177" s="12" t="s">
        <v>91</v>
      </c>
      <c r="E177" s="87" t="str">
        <f>VLOOKUP($C177,'Seznam aktivit'!$B$3:$H$32,2)</f>
        <v>15.10.2025</v>
      </c>
      <c r="F177" s="88">
        <f>VLOOKUP($C177,'Seznam aktivit'!$B$3:$H$32,4)</f>
        <v>1</v>
      </c>
      <c r="G177" s="89" t="str">
        <f>VLOOKUP($C177,'Seznam aktivit'!$B$3:$H$32,5)</f>
        <v>Zážitková pedagogika</v>
      </c>
      <c r="H177" s="89" t="str">
        <f>VLOOKUP($C177,'Seznam aktivit'!$B$3:$H$32,6)</f>
        <v>Kulturní povědomí a vyjádření</v>
      </c>
      <c r="I177" s="90" t="str">
        <f>VLOOKUP($C177,'Seznam aktivit'!$B$3:$H$32,7)</f>
        <v>M. Hanuš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0</v>
      </c>
      <c r="N177" s="32">
        <f t="shared" si="28"/>
        <v>0</v>
      </c>
      <c r="O177" s="32">
        <f t="shared" si="28"/>
        <v>0</v>
      </c>
      <c r="P177" s="32">
        <f t="shared" si="28"/>
        <v>1</v>
      </c>
      <c r="Q177" s="32">
        <f t="shared" si="28"/>
        <v>0</v>
      </c>
      <c r="R177" s="32">
        <f t="shared" si="22"/>
        <v>0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1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11Marko Radek</v>
      </c>
      <c r="C178" s="66">
        <v>11</v>
      </c>
      <c r="D178" s="12" t="s">
        <v>92</v>
      </c>
      <c r="E178" s="87" t="str">
        <f>VLOOKUP($C178,'Seznam aktivit'!$B$3:$H$32,2)</f>
        <v>15.10.2025</v>
      </c>
      <c r="F178" s="88">
        <f>VLOOKUP($C178,'Seznam aktivit'!$B$3:$H$32,4)</f>
        <v>1</v>
      </c>
      <c r="G178" s="89" t="str">
        <f>VLOOKUP($C178,'Seznam aktivit'!$B$3:$H$32,5)</f>
        <v>Zážitková pedagogika</v>
      </c>
      <c r="H178" s="89" t="str">
        <f>VLOOKUP($C178,'Seznam aktivit'!$B$3:$H$32,6)</f>
        <v>Kulturní povědomí a vyjádření</v>
      </c>
      <c r="I178" s="90" t="str">
        <f>VLOOKUP($C178,'Seznam aktivit'!$B$3:$H$32,7)</f>
        <v>M. Hanuš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0</v>
      </c>
      <c r="N178" s="32">
        <f t="shared" si="28"/>
        <v>0</v>
      </c>
      <c r="O178" s="32">
        <f t="shared" si="28"/>
        <v>0</v>
      </c>
      <c r="P178" s="32">
        <f t="shared" si="28"/>
        <v>1</v>
      </c>
      <c r="Q178" s="32">
        <f t="shared" si="28"/>
        <v>0</v>
      </c>
      <c r="R178" s="32">
        <f t="shared" ref="R178:R241" si="32">IF($D178&gt;0,IF($H178=R$2,1,0),0)</f>
        <v>0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1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11Patrman Ondřej</v>
      </c>
      <c r="C179" s="66">
        <v>11</v>
      </c>
      <c r="D179" s="12" t="s">
        <v>94</v>
      </c>
      <c r="E179" s="87" t="str">
        <f>VLOOKUP($C179,'Seznam aktivit'!$B$3:$H$32,2)</f>
        <v>15.10.2025</v>
      </c>
      <c r="F179" s="88">
        <f>VLOOKUP($C179,'Seznam aktivit'!$B$3:$H$32,4)</f>
        <v>1</v>
      </c>
      <c r="G179" s="89" t="str">
        <f>VLOOKUP($C179,'Seznam aktivit'!$B$3:$H$32,5)</f>
        <v>Zážitková pedagogika</v>
      </c>
      <c r="H179" s="89" t="str">
        <f>VLOOKUP($C179,'Seznam aktivit'!$B$3:$H$32,6)</f>
        <v>Kulturní povědomí a vyjádření</v>
      </c>
      <c r="I179" s="90" t="str">
        <f>VLOOKUP($C179,'Seznam aktivit'!$B$3:$H$32,7)</f>
        <v>M. Hanuš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0</v>
      </c>
      <c r="N179" s="32">
        <f t="shared" si="28"/>
        <v>0</v>
      </c>
      <c r="O179" s="32">
        <f t="shared" si="28"/>
        <v>0</v>
      </c>
      <c r="P179" s="32">
        <f t="shared" si="28"/>
        <v>1</v>
      </c>
      <c r="Q179" s="32">
        <f t="shared" si="28"/>
        <v>0</v>
      </c>
      <c r="R179" s="32">
        <f t="shared" si="32"/>
        <v>0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1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11Poliaková Julie</v>
      </c>
      <c r="C180" s="66">
        <v>11</v>
      </c>
      <c r="D180" s="12" t="s">
        <v>96</v>
      </c>
      <c r="E180" s="87" t="str">
        <f>VLOOKUP($C180,'Seznam aktivit'!$B$3:$H$32,2)</f>
        <v>15.10.2025</v>
      </c>
      <c r="F180" s="88">
        <f>VLOOKUP($C180,'Seznam aktivit'!$B$3:$H$32,4)</f>
        <v>1</v>
      </c>
      <c r="G180" s="89" t="str">
        <f>VLOOKUP($C180,'Seznam aktivit'!$B$3:$H$32,5)</f>
        <v>Zážitková pedagogika</v>
      </c>
      <c r="H180" s="89" t="str">
        <f>VLOOKUP($C180,'Seznam aktivit'!$B$3:$H$32,6)</f>
        <v>Kulturní povědomí a vyjádření</v>
      </c>
      <c r="I180" s="90" t="str">
        <f>VLOOKUP($C180,'Seznam aktivit'!$B$3:$H$32,7)</f>
        <v>M. Hanuš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0</v>
      </c>
      <c r="N180" s="32">
        <f t="shared" si="28"/>
        <v>0</v>
      </c>
      <c r="O180" s="32">
        <f t="shared" si="28"/>
        <v>0</v>
      </c>
      <c r="P180" s="32">
        <f t="shared" si="28"/>
        <v>1</v>
      </c>
      <c r="Q180" s="32">
        <f t="shared" si="28"/>
        <v>0</v>
      </c>
      <c r="R180" s="32">
        <f t="shared" si="32"/>
        <v>0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1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11Přecechtěl František</v>
      </c>
      <c r="C181" s="66">
        <v>11</v>
      </c>
      <c r="D181" s="12" t="s">
        <v>97</v>
      </c>
      <c r="E181" s="87" t="str">
        <f>VLOOKUP($C181,'Seznam aktivit'!$B$3:$H$32,2)</f>
        <v>15.10.2025</v>
      </c>
      <c r="F181" s="88">
        <f>VLOOKUP($C181,'Seznam aktivit'!$B$3:$H$32,4)</f>
        <v>1</v>
      </c>
      <c r="G181" s="89" t="str">
        <f>VLOOKUP($C181,'Seznam aktivit'!$B$3:$H$32,5)</f>
        <v>Zážitková pedagogika</v>
      </c>
      <c r="H181" s="89" t="str">
        <f>VLOOKUP($C181,'Seznam aktivit'!$B$3:$H$32,6)</f>
        <v>Kulturní povědomí a vyjádření</v>
      </c>
      <c r="I181" s="90" t="str">
        <f>VLOOKUP($C181,'Seznam aktivit'!$B$3:$H$32,7)</f>
        <v>M. Hanuš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0</v>
      </c>
      <c r="N181" s="32">
        <f t="shared" si="28"/>
        <v>0</v>
      </c>
      <c r="O181" s="32">
        <f t="shared" si="28"/>
        <v>0</v>
      </c>
      <c r="P181" s="32">
        <f t="shared" si="28"/>
        <v>1</v>
      </c>
      <c r="Q181" s="32">
        <f t="shared" si="28"/>
        <v>0</v>
      </c>
      <c r="R181" s="32">
        <f t="shared" si="32"/>
        <v>0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1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11Semančíková Anežka</v>
      </c>
      <c r="C182" s="66">
        <v>11</v>
      </c>
      <c r="D182" s="12" t="s">
        <v>98</v>
      </c>
      <c r="E182" s="87" t="str">
        <f>VLOOKUP($C182,'Seznam aktivit'!$B$3:$H$32,2)</f>
        <v>15.10.2025</v>
      </c>
      <c r="F182" s="88">
        <f>VLOOKUP($C182,'Seznam aktivit'!$B$3:$H$32,4)</f>
        <v>1</v>
      </c>
      <c r="G182" s="89" t="str">
        <f>VLOOKUP($C182,'Seznam aktivit'!$B$3:$H$32,5)</f>
        <v>Zážitková pedagogika</v>
      </c>
      <c r="H182" s="89" t="str">
        <f>VLOOKUP($C182,'Seznam aktivit'!$B$3:$H$32,6)</f>
        <v>Kulturní povědomí a vyjádření</v>
      </c>
      <c r="I182" s="90" t="str">
        <f>VLOOKUP($C182,'Seznam aktivit'!$B$3:$H$32,7)</f>
        <v>M. Hanuš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0</v>
      </c>
      <c r="N182" s="32">
        <f t="shared" si="28"/>
        <v>0</v>
      </c>
      <c r="O182" s="32">
        <f t="shared" si="28"/>
        <v>0</v>
      </c>
      <c r="P182" s="32">
        <f t="shared" si="28"/>
        <v>1</v>
      </c>
      <c r="Q182" s="32">
        <f t="shared" si="28"/>
        <v>0</v>
      </c>
      <c r="R182" s="32">
        <f t="shared" si="32"/>
        <v>0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1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11Trávníčková Anastázie</v>
      </c>
      <c r="C183" s="66">
        <v>11</v>
      </c>
      <c r="D183" s="12" t="s">
        <v>100</v>
      </c>
      <c r="E183" s="87" t="str">
        <f>VLOOKUP($C183,'Seznam aktivit'!$B$3:$H$32,2)</f>
        <v>15.10.2025</v>
      </c>
      <c r="F183" s="88">
        <f>VLOOKUP($C183,'Seznam aktivit'!$B$3:$H$32,4)</f>
        <v>1</v>
      </c>
      <c r="G183" s="89" t="str">
        <f>VLOOKUP($C183,'Seznam aktivit'!$B$3:$H$32,5)</f>
        <v>Zážitková pedagogika</v>
      </c>
      <c r="H183" s="89" t="str">
        <f>VLOOKUP($C183,'Seznam aktivit'!$B$3:$H$32,6)</f>
        <v>Kulturní povědomí a vyjádření</v>
      </c>
      <c r="I183" s="90" t="str">
        <f>VLOOKUP($C183,'Seznam aktivit'!$B$3:$H$32,7)</f>
        <v>M. Hanuš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0</v>
      </c>
      <c r="N183" s="32">
        <f t="shared" si="28"/>
        <v>0</v>
      </c>
      <c r="O183" s="32">
        <f t="shared" si="28"/>
        <v>0</v>
      </c>
      <c r="P183" s="32">
        <f t="shared" si="28"/>
        <v>1</v>
      </c>
      <c r="Q183" s="32">
        <f t="shared" si="28"/>
        <v>0</v>
      </c>
      <c r="R183" s="32">
        <f t="shared" si="32"/>
        <v>0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1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11Vala Tomáš</v>
      </c>
      <c r="C184" s="66">
        <v>11</v>
      </c>
      <c r="D184" s="12" t="s">
        <v>101</v>
      </c>
      <c r="E184" s="87" t="str">
        <f>VLOOKUP($C184,'Seznam aktivit'!$B$3:$H$32,2)</f>
        <v>15.10.2025</v>
      </c>
      <c r="F184" s="88">
        <f>VLOOKUP($C184,'Seznam aktivit'!$B$3:$H$32,4)</f>
        <v>1</v>
      </c>
      <c r="G184" s="89" t="str">
        <f>VLOOKUP($C184,'Seznam aktivit'!$B$3:$H$32,5)</f>
        <v>Zážitková pedagogika</v>
      </c>
      <c r="H184" s="89" t="str">
        <f>VLOOKUP($C184,'Seznam aktivit'!$B$3:$H$32,6)</f>
        <v>Kulturní povědomí a vyjádření</v>
      </c>
      <c r="I184" s="90" t="str">
        <f>VLOOKUP($C184,'Seznam aktivit'!$B$3:$H$32,7)</f>
        <v>M. Hanuš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0</v>
      </c>
      <c r="N184" s="32">
        <f t="shared" si="28"/>
        <v>0</v>
      </c>
      <c r="O184" s="32">
        <f t="shared" si="28"/>
        <v>0</v>
      </c>
      <c r="P184" s="32">
        <f t="shared" si="28"/>
        <v>1</v>
      </c>
      <c r="Q184" s="32">
        <f t="shared" si="28"/>
        <v>0</v>
      </c>
      <c r="R184" s="32">
        <f t="shared" si="32"/>
        <v>0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1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12Antala Štěpán</v>
      </c>
      <c r="C185" s="66">
        <v>12</v>
      </c>
      <c r="D185" s="12" t="s">
        <v>82</v>
      </c>
      <c r="E185" s="87" t="str">
        <f>VLOOKUP($C185,'Seznam aktivit'!$B$3:$H$32,2)</f>
        <v>17.10.2025</v>
      </c>
      <c r="F185" s="88">
        <f>VLOOKUP($C185,'Seznam aktivit'!$B$3:$H$32,4)</f>
        <v>1</v>
      </c>
      <c r="G185" s="89" t="str">
        <f>VLOOKUP($C185,'Seznam aktivit'!$B$3:$H$32,5)</f>
        <v>Zážitková pedagogika</v>
      </c>
      <c r="H185" s="89" t="str">
        <f>VLOOKUP($C185,'Seznam aktivit'!$B$3:$H$32,6)</f>
        <v>Kulturní povědomí a vyjádření</v>
      </c>
      <c r="I185" s="90" t="str">
        <f>VLOOKUP($C185,'Seznam aktivit'!$B$3:$H$32,7)</f>
        <v>M. Hanuš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0</v>
      </c>
      <c r="N185" s="32">
        <f t="shared" si="28"/>
        <v>0</v>
      </c>
      <c r="O185" s="32">
        <f t="shared" si="28"/>
        <v>0</v>
      </c>
      <c r="P185" s="32">
        <f t="shared" si="28"/>
        <v>1</v>
      </c>
      <c r="Q185" s="32">
        <f t="shared" si="28"/>
        <v>0</v>
      </c>
      <c r="R185" s="32">
        <f t="shared" si="32"/>
        <v>0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1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12Benč Patrik</v>
      </c>
      <c r="C186" s="66">
        <v>12</v>
      </c>
      <c r="D186" s="12" t="s">
        <v>83</v>
      </c>
      <c r="E186" s="87" t="str">
        <f>VLOOKUP($C186,'Seznam aktivit'!$B$3:$H$32,2)</f>
        <v>17.10.2025</v>
      </c>
      <c r="F186" s="88">
        <f>VLOOKUP($C186,'Seznam aktivit'!$B$3:$H$32,4)</f>
        <v>1</v>
      </c>
      <c r="G186" s="89" t="str">
        <f>VLOOKUP($C186,'Seznam aktivit'!$B$3:$H$32,5)</f>
        <v>Zážitková pedagogika</v>
      </c>
      <c r="H186" s="89" t="str">
        <f>VLOOKUP($C186,'Seznam aktivit'!$B$3:$H$32,6)</f>
        <v>Kulturní povědomí a vyjádření</v>
      </c>
      <c r="I186" s="90" t="str">
        <f>VLOOKUP($C186,'Seznam aktivit'!$B$3:$H$32,7)</f>
        <v>M. Hanuš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0</v>
      </c>
      <c r="N186" s="32">
        <f t="shared" si="28"/>
        <v>0</v>
      </c>
      <c r="O186" s="32">
        <f t="shared" si="28"/>
        <v>0</v>
      </c>
      <c r="P186" s="32">
        <f t="shared" si="28"/>
        <v>1</v>
      </c>
      <c r="Q186" s="32">
        <f t="shared" si="28"/>
        <v>0</v>
      </c>
      <c r="R186" s="32">
        <f t="shared" si="32"/>
        <v>0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1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12Boruvka Matyáš</v>
      </c>
      <c r="C187" s="66">
        <v>12</v>
      </c>
      <c r="D187" s="12" t="s">
        <v>84</v>
      </c>
      <c r="E187" s="87" t="str">
        <f>VLOOKUP($C187,'Seznam aktivit'!$B$3:$H$32,2)</f>
        <v>17.10.2025</v>
      </c>
      <c r="F187" s="88">
        <f>VLOOKUP($C187,'Seznam aktivit'!$B$3:$H$32,4)</f>
        <v>1</v>
      </c>
      <c r="G187" s="89" t="str">
        <f>VLOOKUP($C187,'Seznam aktivit'!$B$3:$H$32,5)</f>
        <v>Zážitková pedagogika</v>
      </c>
      <c r="H187" s="89" t="str">
        <f>VLOOKUP($C187,'Seznam aktivit'!$B$3:$H$32,6)</f>
        <v>Kulturní povědomí a vyjádření</v>
      </c>
      <c r="I187" s="90" t="str">
        <f>VLOOKUP($C187,'Seznam aktivit'!$B$3:$H$32,7)</f>
        <v>M. Hanuš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0</v>
      </c>
      <c r="N187" s="32">
        <f t="shared" si="28"/>
        <v>0</v>
      </c>
      <c r="O187" s="32">
        <f t="shared" si="28"/>
        <v>0</v>
      </c>
      <c r="P187" s="32">
        <f t="shared" si="28"/>
        <v>1</v>
      </c>
      <c r="Q187" s="32">
        <f t="shared" si="28"/>
        <v>0</v>
      </c>
      <c r="R187" s="32">
        <f t="shared" si="32"/>
        <v>0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1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12Brenkusová Vanesa</v>
      </c>
      <c r="C188" s="66">
        <v>12</v>
      </c>
      <c r="D188" s="12" t="s">
        <v>85</v>
      </c>
      <c r="E188" s="87" t="str">
        <f>VLOOKUP($C188,'Seznam aktivit'!$B$3:$H$32,2)</f>
        <v>17.10.2025</v>
      </c>
      <c r="F188" s="88">
        <f>VLOOKUP($C188,'Seznam aktivit'!$B$3:$H$32,4)</f>
        <v>1</v>
      </c>
      <c r="G188" s="89" t="str">
        <f>VLOOKUP($C188,'Seznam aktivit'!$B$3:$H$32,5)</f>
        <v>Zážitková pedagogika</v>
      </c>
      <c r="H188" s="89" t="str">
        <f>VLOOKUP($C188,'Seznam aktivit'!$B$3:$H$32,6)</f>
        <v>Kulturní povědomí a vyjádření</v>
      </c>
      <c r="I188" s="90" t="str">
        <f>VLOOKUP($C188,'Seznam aktivit'!$B$3:$H$32,7)</f>
        <v>M. Hanuš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0</v>
      </c>
      <c r="N188" s="32">
        <f t="shared" si="28"/>
        <v>0</v>
      </c>
      <c r="O188" s="32">
        <f t="shared" si="28"/>
        <v>0</v>
      </c>
      <c r="P188" s="32">
        <f t="shared" si="28"/>
        <v>1</v>
      </c>
      <c r="Q188" s="32">
        <f t="shared" si="28"/>
        <v>0</v>
      </c>
      <c r="R188" s="32">
        <f t="shared" si="32"/>
        <v>0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1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12Brixelová Elen</v>
      </c>
      <c r="C189" s="66">
        <v>12</v>
      </c>
      <c r="D189" s="12" t="s">
        <v>86</v>
      </c>
      <c r="E189" s="87" t="str">
        <f>VLOOKUP($C189,'Seznam aktivit'!$B$3:$H$32,2)</f>
        <v>17.10.2025</v>
      </c>
      <c r="F189" s="88">
        <f>VLOOKUP($C189,'Seznam aktivit'!$B$3:$H$32,4)</f>
        <v>1</v>
      </c>
      <c r="G189" s="89" t="str">
        <f>VLOOKUP($C189,'Seznam aktivit'!$B$3:$H$32,5)</f>
        <v>Zážitková pedagogika</v>
      </c>
      <c r="H189" s="89" t="str">
        <f>VLOOKUP($C189,'Seznam aktivit'!$B$3:$H$32,6)</f>
        <v>Kulturní povědomí a vyjádření</v>
      </c>
      <c r="I189" s="90" t="str">
        <f>VLOOKUP($C189,'Seznam aktivit'!$B$3:$H$32,7)</f>
        <v>M. Hanuš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0</v>
      </c>
      <c r="N189" s="32">
        <f t="shared" si="28"/>
        <v>0</v>
      </c>
      <c r="O189" s="32">
        <f t="shared" si="28"/>
        <v>0</v>
      </c>
      <c r="P189" s="32">
        <f t="shared" si="28"/>
        <v>1</v>
      </c>
      <c r="Q189" s="32">
        <f t="shared" si="28"/>
        <v>0</v>
      </c>
      <c r="R189" s="32">
        <f t="shared" si="32"/>
        <v>0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1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12Hájková Valérie</v>
      </c>
      <c r="C190" s="66">
        <v>12</v>
      </c>
      <c r="D190" s="12" t="s">
        <v>87</v>
      </c>
      <c r="E190" s="87" t="str">
        <f>VLOOKUP($C190,'Seznam aktivit'!$B$3:$H$32,2)</f>
        <v>17.10.2025</v>
      </c>
      <c r="F190" s="88">
        <f>VLOOKUP($C190,'Seznam aktivit'!$B$3:$H$32,4)</f>
        <v>1</v>
      </c>
      <c r="G190" s="89" t="str">
        <f>VLOOKUP($C190,'Seznam aktivit'!$B$3:$H$32,5)</f>
        <v>Zážitková pedagogika</v>
      </c>
      <c r="H190" s="89" t="str">
        <f>VLOOKUP($C190,'Seznam aktivit'!$B$3:$H$32,6)</f>
        <v>Kulturní povědomí a vyjádření</v>
      </c>
      <c r="I190" s="90" t="str">
        <f>VLOOKUP($C190,'Seznam aktivit'!$B$3:$H$32,7)</f>
        <v>M. Hanuš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0</v>
      </c>
      <c r="N190" s="32">
        <f t="shared" si="28"/>
        <v>0</v>
      </c>
      <c r="O190" s="32">
        <f t="shared" si="28"/>
        <v>0</v>
      </c>
      <c r="P190" s="32">
        <f t="shared" si="28"/>
        <v>1</v>
      </c>
      <c r="Q190" s="32">
        <f t="shared" si="28"/>
        <v>0</v>
      </c>
      <c r="R190" s="32">
        <f t="shared" si="32"/>
        <v>0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1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12Chudý Dominik</v>
      </c>
      <c r="C191" s="66">
        <v>12</v>
      </c>
      <c r="D191" s="12" t="s">
        <v>88</v>
      </c>
      <c r="E191" s="87" t="str">
        <f>VLOOKUP($C191,'Seznam aktivit'!$B$3:$H$32,2)</f>
        <v>17.10.2025</v>
      </c>
      <c r="F191" s="88">
        <f>VLOOKUP($C191,'Seznam aktivit'!$B$3:$H$32,4)</f>
        <v>1</v>
      </c>
      <c r="G191" s="89" t="str">
        <f>VLOOKUP($C191,'Seznam aktivit'!$B$3:$H$32,5)</f>
        <v>Zážitková pedagogika</v>
      </c>
      <c r="H191" s="89" t="str">
        <f>VLOOKUP($C191,'Seznam aktivit'!$B$3:$H$32,6)</f>
        <v>Kulturní povědomí a vyjádření</v>
      </c>
      <c r="I191" s="90" t="str">
        <f>VLOOKUP($C191,'Seznam aktivit'!$B$3:$H$32,7)</f>
        <v>M. Hanuš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0</v>
      </c>
      <c r="N191" s="32">
        <f t="shared" si="28"/>
        <v>0</v>
      </c>
      <c r="O191" s="32">
        <f t="shared" si="28"/>
        <v>0</v>
      </c>
      <c r="P191" s="32">
        <f t="shared" si="28"/>
        <v>1</v>
      </c>
      <c r="Q191" s="32">
        <f t="shared" si="28"/>
        <v>0</v>
      </c>
      <c r="R191" s="32">
        <f t="shared" si="32"/>
        <v>0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1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12Ježková Vendula</v>
      </c>
      <c r="C192" s="66">
        <v>12</v>
      </c>
      <c r="D192" s="12" t="s">
        <v>89</v>
      </c>
      <c r="E192" s="87" t="str">
        <f>VLOOKUP($C192,'Seznam aktivit'!$B$3:$H$32,2)</f>
        <v>17.10.2025</v>
      </c>
      <c r="F192" s="88">
        <f>VLOOKUP($C192,'Seznam aktivit'!$B$3:$H$32,4)</f>
        <v>1</v>
      </c>
      <c r="G192" s="89" t="str">
        <f>VLOOKUP($C192,'Seznam aktivit'!$B$3:$H$32,5)</f>
        <v>Zážitková pedagogika</v>
      </c>
      <c r="H192" s="89" t="str">
        <f>VLOOKUP($C192,'Seznam aktivit'!$B$3:$H$32,6)</f>
        <v>Kulturní povědomí a vyjádření</v>
      </c>
      <c r="I192" s="90" t="str">
        <f>VLOOKUP($C192,'Seznam aktivit'!$B$3:$H$32,7)</f>
        <v>M. Hanuš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0</v>
      </c>
      <c r="N192" s="32">
        <f t="shared" si="28"/>
        <v>0</v>
      </c>
      <c r="O192" s="32">
        <f t="shared" si="28"/>
        <v>0</v>
      </c>
      <c r="P192" s="32">
        <f t="shared" si="28"/>
        <v>1</v>
      </c>
      <c r="Q192" s="32">
        <f t="shared" si="28"/>
        <v>0</v>
      </c>
      <c r="R192" s="32">
        <f t="shared" si="32"/>
        <v>0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1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12Juráň Jindřich</v>
      </c>
      <c r="C193" s="66">
        <v>12</v>
      </c>
      <c r="D193" s="12" t="s">
        <v>90</v>
      </c>
      <c r="E193" s="87" t="str">
        <f>VLOOKUP($C193,'Seznam aktivit'!$B$3:$H$32,2)</f>
        <v>17.10.2025</v>
      </c>
      <c r="F193" s="88">
        <f>VLOOKUP($C193,'Seznam aktivit'!$B$3:$H$32,4)</f>
        <v>1</v>
      </c>
      <c r="G193" s="89" t="str">
        <f>VLOOKUP($C193,'Seznam aktivit'!$B$3:$H$32,5)</f>
        <v>Zážitková pedagogika</v>
      </c>
      <c r="H193" s="89" t="str">
        <f>VLOOKUP($C193,'Seznam aktivit'!$B$3:$H$32,6)</f>
        <v>Kulturní povědomí a vyjádření</v>
      </c>
      <c r="I193" s="90" t="str">
        <f>VLOOKUP($C193,'Seznam aktivit'!$B$3:$H$32,7)</f>
        <v>M. Hanuš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0</v>
      </c>
      <c r="N193" s="32">
        <f t="shared" si="28"/>
        <v>0</v>
      </c>
      <c r="O193" s="32">
        <f t="shared" si="28"/>
        <v>0</v>
      </c>
      <c r="P193" s="32">
        <f t="shared" si="28"/>
        <v>1</v>
      </c>
      <c r="Q193" s="32">
        <f t="shared" si="28"/>
        <v>0</v>
      </c>
      <c r="R193" s="32">
        <f t="shared" si="32"/>
        <v>0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1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12Krywdová Eliška</v>
      </c>
      <c r="C194" s="66">
        <v>12</v>
      </c>
      <c r="D194" s="12" t="s">
        <v>91</v>
      </c>
      <c r="E194" s="87" t="str">
        <f>VLOOKUP($C194,'Seznam aktivit'!$B$3:$H$32,2)</f>
        <v>17.10.2025</v>
      </c>
      <c r="F194" s="88">
        <f>VLOOKUP($C194,'Seznam aktivit'!$B$3:$H$32,4)</f>
        <v>1</v>
      </c>
      <c r="G194" s="89" t="str">
        <f>VLOOKUP($C194,'Seznam aktivit'!$B$3:$H$32,5)</f>
        <v>Zážitková pedagogika</v>
      </c>
      <c r="H194" s="89" t="str">
        <f>VLOOKUP($C194,'Seznam aktivit'!$B$3:$H$32,6)</f>
        <v>Kulturní povědomí a vyjádření</v>
      </c>
      <c r="I194" s="90" t="str">
        <f>VLOOKUP($C194,'Seznam aktivit'!$B$3:$H$32,7)</f>
        <v>M. Hanuš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0</v>
      </c>
      <c r="N194" s="32">
        <f t="shared" si="28"/>
        <v>0</v>
      </c>
      <c r="O194" s="32">
        <f t="shared" si="28"/>
        <v>0</v>
      </c>
      <c r="P194" s="32">
        <f t="shared" si="28"/>
        <v>1</v>
      </c>
      <c r="Q194" s="32">
        <f t="shared" si="28"/>
        <v>0</v>
      </c>
      <c r="R194" s="32">
        <f t="shared" si="32"/>
        <v>0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1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12Marko Radek</v>
      </c>
      <c r="C195" s="66">
        <v>12</v>
      </c>
      <c r="D195" s="12" t="s">
        <v>92</v>
      </c>
      <c r="E195" s="87" t="str">
        <f>VLOOKUP($C195,'Seznam aktivit'!$B$3:$H$32,2)</f>
        <v>17.10.2025</v>
      </c>
      <c r="F195" s="88">
        <f>VLOOKUP($C195,'Seznam aktivit'!$B$3:$H$32,4)</f>
        <v>1</v>
      </c>
      <c r="G195" s="89" t="str">
        <f>VLOOKUP($C195,'Seznam aktivit'!$B$3:$H$32,5)</f>
        <v>Zážitková pedagogika</v>
      </c>
      <c r="H195" s="89" t="str">
        <f>VLOOKUP($C195,'Seznam aktivit'!$B$3:$H$32,6)</f>
        <v>Kulturní povědomí a vyjádření</v>
      </c>
      <c r="I195" s="90" t="str">
        <f>VLOOKUP($C195,'Seznam aktivit'!$B$3:$H$32,7)</f>
        <v>M. Hanuš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0</v>
      </c>
      <c r="N195" s="32">
        <f t="shared" si="28"/>
        <v>0</v>
      </c>
      <c r="O195" s="32">
        <f t="shared" si="28"/>
        <v>0</v>
      </c>
      <c r="P195" s="32">
        <f t="shared" si="28"/>
        <v>1</v>
      </c>
      <c r="Q195" s="32">
        <f t="shared" si="28"/>
        <v>0</v>
      </c>
      <c r="R195" s="32">
        <f t="shared" si="32"/>
        <v>0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1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12Ondříšek Václav</v>
      </c>
      <c r="C196" s="66">
        <v>12</v>
      </c>
      <c r="D196" s="12" t="s">
        <v>93</v>
      </c>
      <c r="E196" s="87" t="str">
        <f>VLOOKUP($C196,'Seznam aktivit'!$B$3:$H$32,2)</f>
        <v>17.10.2025</v>
      </c>
      <c r="F196" s="88">
        <f>VLOOKUP($C196,'Seznam aktivit'!$B$3:$H$32,4)</f>
        <v>1</v>
      </c>
      <c r="G196" s="89" t="str">
        <f>VLOOKUP($C196,'Seznam aktivit'!$B$3:$H$32,5)</f>
        <v>Zážitková pedagogika</v>
      </c>
      <c r="H196" s="89" t="str">
        <f>VLOOKUP($C196,'Seznam aktivit'!$B$3:$H$32,6)</f>
        <v>Kulturní povědomí a vyjádření</v>
      </c>
      <c r="I196" s="90" t="str">
        <f>VLOOKUP($C196,'Seznam aktivit'!$B$3:$H$32,7)</f>
        <v>M. Hanuš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0</v>
      </c>
      <c r="N196" s="32">
        <f t="shared" si="28"/>
        <v>0</v>
      </c>
      <c r="O196" s="32">
        <f t="shared" si="28"/>
        <v>0</v>
      </c>
      <c r="P196" s="32">
        <f t="shared" si="28"/>
        <v>1</v>
      </c>
      <c r="Q196" s="32">
        <f t="shared" si="28"/>
        <v>0</v>
      </c>
      <c r="R196" s="32">
        <f t="shared" si="32"/>
        <v>0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1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12Patrman Ondřej</v>
      </c>
      <c r="C197" s="66">
        <v>12</v>
      </c>
      <c r="D197" s="12" t="s">
        <v>94</v>
      </c>
      <c r="E197" s="87" t="str">
        <f>VLOOKUP($C197,'Seznam aktivit'!$B$3:$H$32,2)</f>
        <v>17.10.2025</v>
      </c>
      <c r="F197" s="88">
        <f>VLOOKUP($C197,'Seznam aktivit'!$B$3:$H$32,4)</f>
        <v>1</v>
      </c>
      <c r="G197" s="89" t="str">
        <f>VLOOKUP($C197,'Seznam aktivit'!$B$3:$H$32,5)</f>
        <v>Zážitková pedagogika</v>
      </c>
      <c r="H197" s="89" t="str">
        <f>VLOOKUP($C197,'Seznam aktivit'!$B$3:$H$32,6)</f>
        <v>Kulturní povědomí a vyjádření</v>
      </c>
      <c r="I197" s="90" t="str">
        <f>VLOOKUP($C197,'Seznam aktivit'!$B$3:$H$32,7)</f>
        <v>M. Hanuš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0</v>
      </c>
      <c r="N197" s="32">
        <f t="shared" si="28"/>
        <v>0</v>
      </c>
      <c r="O197" s="32">
        <f t="shared" si="28"/>
        <v>0</v>
      </c>
      <c r="P197" s="32">
        <f t="shared" si="28"/>
        <v>1</v>
      </c>
      <c r="Q197" s="32">
        <f t="shared" si="28"/>
        <v>0</v>
      </c>
      <c r="R197" s="32">
        <f t="shared" si="32"/>
        <v>0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1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12Polák Filip</v>
      </c>
      <c r="C198" s="66">
        <v>12</v>
      </c>
      <c r="D198" s="12" t="s">
        <v>95</v>
      </c>
      <c r="E198" s="87" t="str">
        <f>VLOOKUP($C198,'Seznam aktivit'!$B$3:$H$32,2)</f>
        <v>17.10.2025</v>
      </c>
      <c r="F198" s="88">
        <f>VLOOKUP($C198,'Seznam aktivit'!$B$3:$H$32,4)</f>
        <v>1</v>
      </c>
      <c r="G198" s="89" t="str">
        <f>VLOOKUP($C198,'Seznam aktivit'!$B$3:$H$32,5)</f>
        <v>Zážitková pedagogika</v>
      </c>
      <c r="H198" s="89" t="str">
        <f>VLOOKUP($C198,'Seznam aktivit'!$B$3:$H$32,6)</f>
        <v>Kulturní povědomí a vyjádření</v>
      </c>
      <c r="I198" s="90" t="str">
        <f>VLOOKUP($C198,'Seznam aktivit'!$B$3:$H$32,7)</f>
        <v>M. Hanuš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0</v>
      </c>
      <c r="N198" s="32">
        <f t="shared" si="28"/>
        <v>0</v>
      </c>
      <c r="O198" s="32">
        <f t="shared" si="28"/>
        <v>0</v>
      </c>
      <c r="P198" s="32">
        <f t="shared" si="28"/>
        <v>1</v>
      </c>
      <c r="Q198" s="32">
        <f t="shared" si="28"/>
        <v>0</v>
      </c>
      <c r="R198" s="32">
        <f t="shared" si="32"/>
        <v>0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1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12Poliaková Julie</v>
      </c>
      <c r="C199" s="66">
        <v>12</v>
      </c>
      <c r="D199" s="12" t="s">
        <v>96</v>
      </c>
      <c r="E199" s="87" t="str">
        <f>VLOOKUP($C199,'Seznam aktivit'!$B$3:$H$32,2)</f>
        <v>17.10.2025</v>
      </c>
      <c r="F199" s="88">
        <f>VLOOKUP($C199,'Seznam aktivit'!$B$3:$H$32,4)</f>
        <v>1</v>
      </c>
      <c r="G199" s="89" t="str">
        <f>VLOOKUP($C199,'Seznam aktivit'!$B$3:$H$32,5)</f>
        <v>Zážitková pedagogika</v>
      </c>
      <c r="H199" s="89" t="str">
        <f>VLOOKUP($C199,'Seznam aktivit'!$B$3:$H$32,6)</f>
        <v>Kulturní povědomí a vyjádření</v>
      </c>
      <c r="I199" s="90" t="str">
        <f>VLOOKUP($C199,'Seznam aktivit'!$B$3:$H$32,7)</f>
        <v>M. Hanuš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0</v>
      </c>
      <c r="N199" s="32">
        <f t="shared" si="28"/>
        <v>0</v>
      </c>
      <c r="O199" s="32">
        <f t="shared" si="28"/>
        <v>0</v>
      </c>
      <c r="P199" s="32">
        <f t="shared" si="28"/>
        <v>1</v>
      </c>
      <c r="Q199" s="32">
        <f t="shared" si="28"/>
        <v>0</v>
      </c>
      <c r="R199" s="32">
        <f t="shared" si="32"/>
        <v>0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1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12Přecechtěl František</v>
      </c>
      <c r="C200" s="66">
        <v>12</v>
      </c>
      <c r="D200" s="12" t="s">
        <v>97</v>
      </c>
      <c r="E200" s="87" t="str">
        <f>VLOOKUP($C200,'Seznam aktivit'!$B$3:$H$32,2)</f>
        <v>17.10.2025</v>
      </c>
      <c r="F200" s="88">
        <f>VLOOKUP($C200,'Seznam aktivit'!$B$3:$H$32,4)</f>
        <v>1</v>
      </c>
      <c r="G200" s="89" t="str">
        <f>VLOOKUP($C200,'Seznam aktivit'!$B$3:$H$32,5)</f>
        <v>Zážitková pedagogika</v>
      </c>
      <c r="H200" s="89" t="str">
        <f>VLOOKUP($C200,'Seznam aktivit'!$B$3:$H$32,6)</f>
        <v>Kulturní povědomí a vyjádření</v>
      </c>
      <c r="I200" s="90" t="str">
        <f>VLOOKUP($C200,'Seznam aktivit'!$B$3:$H$32,7)</f>
        <v>M. Hanuš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0</v>
      </c>
      <c r="N200" s="32">
        <f t="shared" si="28"/>
        <v>0</v>
      </c>
      <c r="O200" s="32">
        <f t="shared" si="28"/>
        <v>0</v>
      </c>
      <c r="P200" s="32">
        <f t="shared" si="28"/>
        <v>1</v>
      </c>
      <c r="Q200" s="32">
        <f t="shared" si="28"/>
        <v>0</v>
      </c>
      <c r="R200" s="32">
        <f t="shared" si="32"/>
        <v>0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1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12Semančíková Anežka</v>
      </c>
      <c r="C201" s="66">
        <v>12</v>
      </c>
      <c r="D201" s="12" t="s">
        <v>98</v>
      </c>
      <c r="E201" s="87" t="str">
        <f>VLOOKUP($C201,'Seznam aktivit'!$B$3:$H$32,2)</f>
        <v>17.10.2025</v>
      </c>
      <c r="F201" s="88">
        <f>VLOOKUP($C201,'Seznam aktivit'!$B$3:$H$32,4)</f>
        <v>1</v>
      </c>
      <c r="G201" s="89" t="str">
        <f>VLOOKUP($C201,'Seznam aktivit'!$B$3:$H$32,5)</f>
        <v>Zážitková pedagogika</v>
      </c>
      <c r="H201" s="89" t="str">
        <f>VLOOKUP($C201,'Seznam aktivit'!$B$3:$H$32,6)</f>
        <v>Kulturní povědomí a vyjádření</v>
      </c>
      <c r="I201" s="90" t="str">
        <f>VLOOKUP($C201,'Seznam aktivit'!$B$3:$H$32,7)</f>
        <v>M. Hanuš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0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1</v>
      </c>
      <c r="Q201" s="32">
        <f t="shared" si="36"/>
        <v>0</v>
      </c>
      <c r="R201" s="32">
        <f t="shared" si="32"/>
        <v>0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1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12Soška Filip</v>
      </c>
      <c r="C202" s="66">
        <v>12</v>
      </c>
      <c r="D202" s="12" t="s">
        <v>99</v>
      </c>
      <c r="E202" s="87" t="str">
        <f>VLOOKUP($C202,'Seznam aktivit'!$B$3:$H$32,2)</f>
        <v>17.10.2025</v>
      </c>
      <c r="F202" s="88">
        <f>VLOOKUP($C202,'Seznam aktivit'!$B$3:$H$32,4)</f>
        <v>1</v>
      </c>
      <c r="G202" s="89" t="str">
        <f>VLOOKUP($C202,'Seznam aktivit'!$B$3:$H$32,5)</f>
        <v>Zážitková pedagogika</v>
      </c>
      <c r="H202" s="89" t="str">
        <f>VLOOKUP($C202,'Seznam aktivit'!$B$3:$H$32,6)</f>
        <v>Kulturní povědomí a vyjádření</v>
      </c>
      <c r="I202" s="90" t="str">
        <f>VLOOKUP($C202,'Seznam aktivit'!$B$3:$H$32,7)</f>
        <v>M. Hanuš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0</v>
      </c>
      <c r="N202" s="32">
        <f t="shared" si="36"/>
        <v>0</v>
      </c>
      <c r="O202" s="32">
        <f t="shared" si="36"/>
        <v>0</v>
      </c>
      <c r="P202" s="32">
        <f t="shared" si="36"/>
        <v>1</v>
      </c>
      <c r="Q202" s="32">
        <f t="shared" si="36"/>
        <v>0</v>
      </c>
      <c r="R202" s="32">
        <f t="shared" si="32"/>
        <v>0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1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13Antala Štěpán</v>
      </c>
      <c r="C203" s="66">
        <v>13</v>
      </c>
      <c r="D203" s="12" t="s">
        <v>82</v>
      </c>
      <c r="E203" s="87" t="str">
        <f>VLOOKUP($C203,'Seznam aktivit'!$B$3:$H$32,2)</f>
        <v>24.10.2025</v>
      </c>
      <c r="F203" s="88">
        <f>VLOOKUP($C203,'Seznam aktivit'!$B$3:$H$32,4)</f>
        <v>1</v>
      </c>
      <c r="G203" s="89" t="str">
        <f>VLOOKUP($C203,'Seznam aktivit'!$B$3:$H$32,5)</f>
        <v>Vzdělávání s využitím nových technologií</v>
      </c>
      <c r="H203" s="89" t="str">
        <f>VLOOKUP($C203,'Seznam aktivit'!$B$3:$H$32,6)</f>
        <v>Vzdělávání s využitím nových technologií</v>
      </c>
      <c r="I203" s="90" t="str">
        <f>VLOOKUP($C203,'Seznam aktivit'!$B$3:$H$32,7)</f>
        <v>M. Hanuš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0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0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1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13Benč Patrik</v>
      </c>
      <c r="C204" s="66">
        <v>13</v>
      </c>
      <c r="D204" s="12" t="s">
        <v>83</v>
      </c>
      <c r="E204" s="87" t="str">
        <f>VLOOKUP($C204,'Seznam aktivit'!$B$3:$H$32,2)</f>
        <v>24.10.2025</v>
      </c>
      <c r="F204" s="88">
        <f>VLOOKUP($C204,'Seznam aktivit'!$B$3:$H$32,4)</f>
        <v>1</v>
      </c>
      <c r="G204" s="89" t="str">
        <f>VLOOKUP($C204,'Seznam aktivit'!$B$3:$H$32,5)</f>
        <v>Vzdělávání s využitím nových technologií</v>
      </c>
      <c r="H204" s="89" t="str">
        <f>VLOOKUP($C204,'Seznam aktivit'!$B$3:$H$32,6)</f>
        <v>Vzdělávání s využitím nových technologií</v>
      </c>
      <c r="I204" s="90" t="str">
        <f>VLOOKUP($C204,'Seznam aktivit'!$B$3:$H$32,7)</f>
        <v>M. Hanuš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0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0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1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13Boruvka Matyáš</v>
      </c>
      <c r="C205" s="66">
        <v>13</v>
      </c>
      <c r="D205" s="12" t="s">
        <v>84</v>
      </c>
      <c r="E205" s="87" t="str">
        <f>VLOOKUP($C205,'Seznam aktivit'!$B$3:$H$32,2)</f>
        <v>24.10.2025</v>
      </c>
      <c r="F205" s="88">
        <f>VLOOKUP($C205,'Seznam aktivit'!$B$3:$H$32,4)</f>
        <v>1</v>
      </c>
      <c r="G205" s="89" t="str">
        <f>VLOOKUP($C205,'Seznam aktivit'!$B$3:$H$32,5)</f>
        <v>Vzdělávání s využitím nových technologií</v>
      </c>
      <c r="H205" s="89" t="str">
        <f>VLOOKUP($C205,'Seznam aktivit'!$B$3:$H$32,6)</f>
        <v>Vzdělávání s využitím nových technologií</v>
      </c>
      <c r="I205" s="90" t="str">
        <f>VLOOKUP($C205,'Seznam aktivit'!$B$3:$H$32,7)</f>
        <v>M. Hanuš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0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0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1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13Brixelová Elen</v>
      </c>
      <c r="C206" s="66">
        <v>13</v>
      </c>
      <c r="D206" s="12" t="s">
        <v>86</v>
      </c>
      <c r="E206" s="87" t="str">
        <f>VLOOKUP($C206,'Seznam aktivit'!$B$3:$H$32,2)</f>
        <v>24.10.2025</v>
      </c>
      <c r="F206" s="88">
        <f>VLOOKUP($C206,'Seznam aktivit'!$B$3:$H$32,4)</f>
        <v>1</v>
      </c>
      <c r="G206" s="89" t="str">
        <f>VLOOKUP($C206,'Seznam aktivit'!$B$3:$H$32,5)</f>
        <v>Vzdělávání s využitím nových technologií</v>
      </c>
      <c r="H206" s="89" t="str">
        <f>VLOOKUP($C206,'Seznam aktivit'!$B$3:$H$32,6)</f>
        <v>Vzdělávání s využitím nových technologií</v>
      </c>
      <c r="I206" s="90" t="str">
        <f>VLOOKUP($C206,'Seznam aktivit'!$B$3:$H$32,7)</f>
        <v>M. Hanuš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0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0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1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13Hájková Valérie</v>
      </c>
      <c r="C207" s="66">
        <v>13</v>
      </c>
      <c r="D207" s="12" t="s">
        <v>87</v>
      </c>
      <c r="E207" s="87" t="str">
        <f>VLOOKUP($C207,'Seznam aktivit'!$B$3:$H$32,2)</f>
        <v>24.10.2025</v>
      </c>
      <c r="F207" s="88">
        <f>VLOOKUP($C207,'Seznam aktivit'!$B$3:$H$32,4)</f>
        <v>1</v>
      </c>
      <c r="G207" s="89" t="str">
        <f>VLOOKUP($C207,'Seznam aktivit'!$B$3:$H$32,5)</f>
        <v>Vzdělávání s využitím nových technologií</v>
      </c>
      <c r="H207" s="89" t="str">
        <f>VLOOKUP($C207,'Seznam aktivit'!$B$3:$H$32,6)</f>
        <v>Vzdělávání s využitím nových technologií</v>
      </c>
      <c r="I207" s="90" t="str">
        <f>VLOOKUP($C207,'Seznam aktivit'!$B$3:$H$32,7)</f>
        <v>M. Hanuš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0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0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1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13Chudý Dominik</v>
      </c>
      <c r="C208" s="66">
        <v>13</v>
      </c>
      <c r="D208" s="12" t="s">
        <v>88</v>
      </c>
      <c r="E208" s="87" t="str">
        <f>VLOOKUP($C208,'Seznam aktivit'!$B$3:$H$32,2)</f>
        <v>24.10.2025</v>
      </c>
      <c r="F208" s="88">
        <f>VLOOKUP($C208,'Seznam aktivit'!$B$3:$H$32,4)</f>
        <v>1</v>
      </c>
      <c r="G208" s="89" t="str">
        <f>VLOOKUP($C208,'Seznam aktivit'!$B$3:$H$32,5)</f>
        <v>Vzdělávání s využitím nových technologií</v>
      </c>
      <c r="H208" s="89" t="str">
        <f>VLOOKUP($C208,'Seznam aktivit'!$B$3:$H$32,6)</f>
        <v>Vzdělávání s využitím nových technologií</v>
      </c>
      <c r="I208" s="90" t="str">
        <f>VLOOKUP($C208,'Seznam aktivit'!$B$3:$H$32,7)</f>
        <v>M. Hanuš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0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0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1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13Ježková Vendula</v>
      </c>
      <c r="C209" s="66">
        <v>13</v>
      </c>
      <c r="D209" s="12" t="s">
        <v>89</v>
      </c>
      <c r="E209" s="87" t="str">
        <f>VLOOKUP($C209,'Seznam aktivit'!$B$3:$H$32,2)</f>
        <v>24.10.2025</v>
      </c>
      <c r="F209" s="88">
        <f>VLOOKUP($C209,'Seznam aktivit'!$B$3:$H$32,4)</f>
        <v>1</v>
      </c>
      <c r="G209" s="89" t="str">
        <f>VLOOKUP($C209,'Seznam aktivit'!$B$3:$H$32,5)</f>
        <v>Vzdělávání s využitím nových technologií</v>
      </c>
      <c r="H209" s="89" t="str">
        <f>VLOOKUP($C209,'Seznam aktivit'!$B$3:$H$32,6)</f>
        <v>Vzdělávání s využitím nových technologií</v>
      </c>
      <c r="I209" s="90" t="str">
        <f>VLOOKUP($C209,'Seznam aktivit'!$B$3:$H$32,7)</f>
        <v>M. Hanuš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0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0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1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13Juráň Jindřich</v>
      </c>
      <c r="C210" s="66">
        <v>13</v>
      </c>
      <c r="D210" s="12" t="s">
        <v>90</v>
      </c>
      <c r="E210" s="87" t="str">
        <f>VLOOKUP($C210,'Seznam aktivit'!$B$3:$H$32,2)</f>
        <v>24.10.2025</v>
      </c>
      <c r="F210" s="88">
        <f>VLOOKUP($C210,'Seznam aktivit'!$B$3:$H$32,4)</f>
        <v>1</v>
      </c>
      <c r="G210" s="89" t="str">
        <f>VLOOKUP($C210,'Seznam aktivit'!$B$3:$H$32,5)</f>
        <v>Vzdělávání s využitím nových technologií</v>
      </c>
      <c r="H210" s="89" t="str">
        <f>VLOOKUP($C210,'Seznam aktivit'!$B$3:$H$32,6)</f>
        <v>Vzdělávání s využitím nových technologií</v>
      </c>
      <c r="I210" s="90" t="str">
        <f>VLOOKUP($C210,'Seznam aktivit'!$B$3:$H$32,7)</f>
        <v>M. Hanuš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0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0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1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13Krywdová Eliška</v>
      </c>
      <c r="C211" s="66">
        <v>13</v>
      </c>
      <c r="D211" s="12" t="s">
        <v>91</v>
      </c>
      <c r="E211" s="87" t="str">
        <f>VLOOKUP($C211,'Seznam aktivit'!$B$3:$H$32,2)</f>
        <v>24.10.2025</v>
      </c>
      <c r="F211" s="88">
        <f>VLOOKUP($C211,'Seznam aktivit'!$B$3:$H$32,4)</f>
        <v>1</v>
      </c>
      <c r="G211" s="89" t="str">
        <f>VLOOKUP($C211,'Seznam aktivit'!$B$3:$H$32,5)</f>
        <v>Vzdělávání s využitím nových technologií</v>
      </c>
      <c r="H211" s="89" t="str">
        <f>VLOOKUP($C211,'Seznam aktivit'!$B$3:$H$32,6)</f>
        <v>Vzdělávání s využitím nových technologií</v>
      </c>
      <c r="I211" s="90" t="str">
        <f>VLOOKUP($C211,'Seznam aktivit'!$B$3:$H$32,7)</f>
        <v>M. Hanuš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0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0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1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13Marko Radek</v>
      </c>
      <c r="C212" s="66">
        <v>13</v>
      </c>
      <c r="D212" s="12" t="s">
        <v>92</v>
      </c>
      <c r="E212" s="87" t="str">
        <f>VLOOKUP($C212,'Seznam aktivit'!$B$3:$H$32,2)</f>
        <v>24.10.2025</v>
      </c>
      <c r="F212" s="88">
        <f>VLOOKUP($C212,'Seznam aktivit'!$B$3:$H$32,4)</f>
        <v>1</v>
      </c>
      <c r="G212" s="89" t="str">
        <f>VLOOKUP($C212,'Seznam aktivit'!$B$3:$H$32,5)</f>
        <v>Vzdělávání s využitím nových technologií</v>
      </c>
      <c r="H212" s="89" t="str">
        <f>VLOOKUP($C212,'Seznam aktivit'!$B$3:$H$32,6)</f>
        <v>Vzdělávání s využitím nových technologií</v>
      </c>
      <c r="I212" s="90" t="str">
        <f>VLOOKUP($C212,'Seznam aktivit'!$B$3:$H$32,7)</f>
        <v>M. Hanuš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0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0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1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13Ondříšek Václav</v>
      </c>
      <c r="C213" s="66">
        <v>13</v>
      </c>
      <c r="D213" s="12" t="s">
        <v>93</v>
      </c>
      <c r="E213" s="87" t="str">
        <f>VLOOKUP($C213,'Seznam aktivit'!$B$3:$H$32,2)</f>
        <v>24.10.2025</v>
      </c>
      <c r="F213" s="88">
        <f>VLOOKUP($C213,'Seznam aktivit'!$B$3:$H$32,4)</f>
        <v>1</v>
      </c>
      <c r="G213" s="89" t="str">
        <f>VLOOKUP($C213,'Seznam aktivit'!$B$3:$H$32,5)</f>
        <v>Vzdělávání s využitím nových technologií</v>
      </c>
      <c r="H213" s="89" t="str">
        <f>VLOOKUP($C213,'Seznam aktivit'!$B$3:$H$32,6)</f>
        <v>Vzdělávání s využitím nových technologií</v>
      </c>
      <c r="I213" s="90" t="str">
        <f>VLOOKUP($C213,'Seznam aktivit'!$B$3:$H$32,7)</f>
        <v>M. Hanuš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0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0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1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13Patrman Ondřej</v>
      </c>
      <c r="C214" s="66">
        <v>13</v>
      </c>
      <c r="D214" s="12" t="s">
        <v>94</v>
      </c>
      <c r="E214" s="87" t="str">
        <f>VLOOKUP($C214,'Seznam aktivit'!$B$3:$H$32,2)</f>
        <v>24.10.2025</v>
      </c>
      <c r="F214" s="88">
        <f>VLOOKUP($C214,'Seznam aktivit'!$B$3:$H$32,4)</f>
        <v>1</v>
      </c>
      <c r="G214" s="89" t="str">
        <f>VLOOKUP($C214,'Seznam aktivit'!$B$3:$H$32,5)</f>
        <v>Vzdělávání s využitím nových technologií</v>
      </c>
      <c r="H214" s="89" t="str">
        <f>VLOOKUP($C214,'Seznam aktivit'!$B$3:$H$32,6)</f>
        <v>Vzdělávání s využitím nových technologií</v>
      </c>
      <c r="I214" s="90" t="str">
        <f>VLOOKUP($C214,'Seznam aktivit'!$B$3:$H$32,7)</f>
        <v>M. Hanuš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0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0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1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13Polák Filip</v>
      </c>
      <c r="C215" s="66">
        <v>13</v>
      </c>
      <c r="D215" s="12" t="s">
        <v>95</v>
      </c>
      <c r="E215" s="87" t="str">
        <f>VLOOKUP($C215,'Seznam aktivit'!$B$3:$H$32,2)</f>
        <v>24.10.2025</v>
      </c>
      <c r="F215" s="88">
        <f>VLOOKUP($C215,'Seznam aktivit'!$B$3:$H$32,4)</f>
        <v>1</v>
      </c>
      <c r="G215" s="89" t="str">
        <f>VLOOKUP($C215,'Seznam aktivit'!$B$3:$H$32,5)</f>
        <v>Vzdělávání s využitím nových technologií</v>
      </c>
      <c r="H215" s="89" t="str">
        <f>VLOOKUP($C215,'Seznam aktivit'!$B$3:$H$32,6)</f>
        <v>Vzdělávání s využitím nových technologií</v>
      </c>
      <c r="I215" s="90" t="str">
        <f>VLOOKUP($C215,'Seznam aktivit'!$B$3:$H$32,7)</f>
        <v>M. Hanuš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0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0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1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13Poliaková Julie</v>
      </c>
      <c r="C216" s="66">
        <v>13</v>
      </c>
      <c r="D216" s="12" t="s">
        <v>96</v>
      </c>
      <c r="E216" s="87" t="str">
        <f>VLOOKUP($C216,'Seznam aktivit'!$B$3:$H$32,2)</f>
        <v>24.10.2025</v>
      </c>
      <c r="F216" s="88">
        <f>VLOOKUP($C216,'Seznam aktivit'!$B$3:$H$32,4)</f>
        <v>1</v>
      </c>
      <c r="G216" s="89" t="str">
        <f>VLOOKUP($C216,'Seznam aktivit'!$B$3:$H$32,5)</f>
        <v>Vzdělávání s využitím nových technologií</v>
      </c>
      <c r="H216" s="89" t="str">
        <f>VLOOKUP($C216,'Seznam aktivit'!$B$3:$H$32,6)</f>
        <v>Vzdělávání s využitím nových technologií</v>
      </c>
      <c r="I216" s="90" t="str">
        <f>VLOOKUP($C216,'Seznam aktivit'!$B$3:$H$32,7)</f>
        <v>M. Hanuš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0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0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1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13Přecechtěl František</v>
      </c>
      <c r="C217" s="66">
        <v>13</v>
      </c>
      <c r="D217" s="12" t="s">
        <v>97</v>
      </c>
      <c r="E217" s="87" t="str">
        <f>VLOOKUP($C217,'Seznam aktivit'!$B$3:$H$32,2)</f>
        <v>24.10.2025</v>
      </c>
      <c r="F217" s="88">
        <f>VLOOKUP($C217,'Seznam aktivit'!$B$3:$H$32,4)</f>
        <v>1</v>
      </c>
      <c r="G217" s="89" t="str">
        <f>VLOOKUP($C217,'Seznam aktivit'!$B$3:$H$32,5)</f>
        <v>Vzdělávání s využitím nových technologií</v>
      </c>
      <c r="H217" s="89" t="str">
        <f>VLOOKUP($C217,'Seznam aktivit'!$B$3:$H$32,6)</f>
        <v>Vzdělávání s využitím nových technologií</v>
      </c>
      <c r="I217" s="90" t="str">
        <f>VLOOKUP($C217,'Seznam aktivit'!$B$3:$H$32,7)</f>
        <v>M. Hanuš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0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0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1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13Semančíková Anežka</v>
      </c>
      <c r="C218" s="66">
        <v>13</v>
      </c>
      <c r="D218" s="12" t="s">
        <v>98</v>
      </c>
      <c r="E218" s="87" t="str">
        <f>VLOOKUP($C218,'Seznam aktivit'!$B$3:$H$32,2)</f>
        <v>24.10.2025</v>
      </c>
      <c r="F218" s="88">
        <f>VLOOKUP($C218,'Seznam aktivit'!$B$3:$H$32,4)</f>
        <v>1</v>
      </c>
      <c r="G218" s="89" t="str">
        <f>VLOOKUP($C218,'Seznam aktivit'!$B$3:$H$32,5)</f>
        <v>Vzdělávání s využitím nových technologií</v>
      </c>
      <c r="H218" s="89" t="str">
        <f>VLOOKUP($C218,'Seznam aktivit'!$B$3:$H$32,6)</f>
        <v>Vzdělávání s využitím nových technologií</v>
      </c>
      <c r="I218" s="90" t="str">
        <f>VLOOKUP($C218,'Seznam aktivit'!$B$3:$H$32,7)</f>
        <v>M. Hanuš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0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0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1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13Soška Filip</v>
      </c>
      <c r="C219" s="66">
        <v>13</v>
      </c>
      <c r="D219" s="12" t="s">
        <v>99</v>
      </c>
      <c r="E219" s="87" t="str">
        <f>VLOOKUP($C219,'Seznam aktivit'!$B$3:$H$32,2)</f>
        <v>24.10.2025</v>
      </c>
      <c r="F219" s="88">
        <f>VLOOKUP($C219,'Seznam aktivit'!$B$3:$H$32,4)</f>
        <v>1</v>
      </c>
      <c r="G219" s="89" t="str">
        <f>VLOOKUP($C219,'Seznam aktivit'!$B$3:$H$32,5)</f>
        <v>Vzdělávání s využitím nových technologií</v>
      </c>
      <c r="H219" s="89" t="str">
        <f>VLOOKUP($C219,'Seznam aktivit'!$B$3:$H$32,6)</f>
        <v>Vzdělávání s využitím nových technologií</v>
      </c>
      <c r="I219" s="90" t="str">
        <f>VLOOKUP($C219,'Seznam aktivit'!$B$3:$H$32,7)</f>
        <v>M. Hanuš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0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0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1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13Trávníčková Anastázie</v>
      </c>
      <c r="C220" s="66">
        <v>13</v>
      </c>
      <c r="D220" s="12" t="s">
        <v>100</v>
      </c>
      <c r="E220" s="87" t="str">
        <f>VLOOKUP($C220,'Seznam aktivit'!$B$3:$H$32,2)</f>
        <v>24.10.2025</v>
      </c>
      <c r="F220" s="88">
        <f>VLOOKUP($C220,'Seznam aktivit'!$B$3:$H$32,4)</f>
        <v>1</v>
      </c>
      <c r="G220" s="89" t="str">
        <f>VLOOKUP($C220,'Seznam aktivit'!$B$3:$H$32,5)</f>
        <v>Vzdělávání s využitím nových technologií</v>
      </c>
      <c r="H220" s="89" t="str">
        <f>VLOOKUP($C220,'Seznam aktivit'!$B$3:$H$32,6)</f>
        <v>Vzdělávání s využitím nových technologií</v>
      </c>
      <c r="I220" s="90" t="str">
        <f>VLOOKUP($C220,'Seznam aktivit'!$B$3:$H$32,7)</f>
        <v>M. Hanuš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0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0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1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13Vala Tomáš</v>
      </c>
      <c r="C221" s="66">
        <v>13</v>
      </c>
      <c r="D221" s="12" t="s">
        <v>101</v>
      </c>
      <c r="E221" s="87" t="str">
        <f>VLOOKUP($C221,'Seznam aktivit'!$B$3:$H$32,2)</f>
        <v>24.10.2025</v>
      </c>
      <c r="F221" s="88">
        <f>VLOOKUP($C221,'Seznam aktivit'!$B$3:$H$32,4)</f>
        <v>1</v>
      </c>
      <c r="G221" s="89" t="str">
        <f>VLOOKUP($C221,'Seznam aktivit'!$B$3:$H$32,5)</f>
        <v>Vzdělávání s využitím nových technologií</v>
      </c>
      <c r="H221" s="89" t="str">
        <f>VLOOKUP($C221,'Seznam aktivit'!$B$3:$H$32,6)</f>
        <v>Vzdělávání s využitím nových technologií</v>
      </c>
      <c r="I221" s="90" t="str">
        <f>VLOOKUP($C221,'Seznam aktivit'!$B$3:$H$32,7)</f>
        <v>M. Hanuš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0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0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1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14Antala Štěpán</v>
      </c>
      <c r="C222" s="66">
        <v>14</v>
      </c>
      <c r="D222" s="12" t="s">
        <v>82</v>
      </c>
      <c r="E222" s="87" t="str">
        <f>VLOOKUP($C222,'Seznam aktivit'!$B$3:$H$32,2)</f>
        <v>31.10.2025</v>
      </c>
      <c r="F222" s="88">
        <f>VLOOKUP($C222,'Seznam aktivit'!$B$3:$H$32,4)</f>
        <v>1</v>
      </c>
      <c r="G222" s="89" t="str">
        <f>VLOOKUP($C222,'Seznam aktivit'!$B$3:$H$32,5)</f>
        <v>Vzdělávání s využitím nových technologií</v>
      </c>
      <c r="H222" s="89" t="str">
        <f>VLOOKUP($C222,'Seznam aktivit'!$B$3:$H$32,6)</f>
        <v>Vzdělávání s využitím nových technologií</v>
      </c>
      <c r="I222" s="90" t="str">
        <f>VLOOKUP($C222,'Seznam aktivit'!$B$3:$H$32,7)</f>
        <v>M. Hanuš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0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0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1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14Boruvka Matyáš</v>
      </c>
      <c r="C223" s="66">
        <v>14</v>
      </c>
      <c r="D223" s="12" t="s">
        <v>84</v>
      </c>
      <c r="E223" s="87" t="str">
        <f>VLOOKUP($C223,'Seznam aktivit'!$B$3:$H$32,2)</f>
        <v>31.10.2025</v>
      </c>
      <c r="F223" s="88">
        <f>VLOOKUP($C223,'Seznam aktivit'!$B$3:$H$32,4)</f>
        <v>1</v>
      </c>
      <c r="G223" s="89" t="str">
        <f>VLOOKUP($C223,'Seznam aktivit'!$B$3:$H$32,5)</f>
        <v>Vzdělávání s využitím nových technologií</v>
      </c>
      <c r="H223" s="89" t="str">
        <f>VLOOKUP($C223,'Seznam aktivit'!$B$3:$H$32,6)</f>
        <v>Vzdělávání s využitím nových technologií</v>
      </c>
      <c r="I223" s="90" t="str">
        <f>VLOOKUP($C223,'Seznam aktivit'!$B$3:$H$32,7)</f>
        <v>M. Hanuš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0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0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1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14Brenkusová Vanesa</v>
      </c>
      <c r="C224" s="66">
        <v>14</v>
      </c>
      <c r="D224" s="12" t="s">
        <v>85</v>
      </c>
      <c r="E224" s="87" t="str">
        <f>VLOOKUP($C224,'Seznam aktivit'!$B$3:$H$32,2)</f>
        <v>31.10.2025</v>
      </c>
      <c r="F224" s="88">
        <f>VLOOKUP($C224,'Seznam aktivit'!$B$3:$H$32,4)</f>
        <v>1</v>
      </c>
      <c r="G224" s="89" t="str">
        <f>VLOOKUP($C224,'Seznam aktivit'!$B$3:$H$32,5)</f>
        <v>Vzdělávání s využitím nových technologií</v>
      </c>
      <c r="H224" s="89" t="str">
        <f>VLOOKUP($C224,'Seznam aktivit'!$B$3:$H$32,6)</f>
        <v>Vzdělávání s využitím nových technologií</v>
      </c>
      <c r="I224" s="90" t="str">
        <f>VLOOKUP($C224,'Seznam aktivit'!$B$3:$H$32,7)</f>
        <v>M. Hanuš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0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0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1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14Brixelová Elen</v>
      </c>
      <c r="C225" s="66">
        <v>14</v>
      </c>
      <c r="D225" s="12" t="s">
        <v>86</v>
      </c>
      <c r="E225" s="87" t="str">
        <f>VLOOKUP($C225,'Seznam aktivit'!$B$3:$H$32,2)</f>
        <v>31.10.2025</v>
      </c>
      <c r="F225" s="88">
        <f>VLOOKUP($C225,'Seznam aktivit'!$B$3:$H$32,4)</f>
        <v>1</v>
      </c>
      <c r="G225" s="89" t="str">
        <f>VLOOKUP($C225,'Seznam aktivit'!$B$3:$H$32,5)</f>
        <v>Vzdělávání s využitím nových technologií</v>
      </c>
      <c r="H225" s="89" t="str">
        <f>VLOOKUP($C225,'Seznam aktivit'!$B$3:$H$32,6)</f>
        <v>Vzdělávání s využitím nových technologií</v>
      </c>
      <c r="I225" s="90" t="str">
        <f>VLOOKUP($C225,'Seznam aktivit'!$B$3:$H$32,7)</f>
        <v>M. Hanuš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0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0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1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14Hájková Valérie</v>
      </c>
      <c r="C226" s="66">
        <v>14</v>
      </c>
      <c r="D226" s="12" t="s">
        <v>87</v>
      </c>
      <c r="E226" s="87" t="str">
        <f>VLOOKUP($C226,'Seznam aktivit'!$B$3:$H$32,2)</f>
        <v>31.10.2025</v>
      </c>
      <c r="F226" s="88">
        <f>VLOOKUP($C226,'Seznam aktivit'!$B$3:$H$32,4)</f>
        <v>1</v>
      </c>
      <c r="G226" s="89" t="str">
        <f>VLOOKUP($C226,'Seznam aktivit'!$B$3:$H$32,5)</f>
        <v>Vzdělávání s využitím nových technologií</v>
      </c>
      <c r="H226" s="89" t="str">
        <f>VLOOKUP($C226,'Seznam aktivit'!$B$3:$H$32,6)</f>
        <v>Vzdělávání s využitím nových technologií</v>
      </c>
      <c r="I226" s="90" t="str">
        <f>VLOOKUP($C226,'Seznam aktivit'!$B$3:$H$32,7)</f>
        <v>M. Hanuš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0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0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1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14Chudý Dominik</v>
      </c>
      <c r="C227" s="66">
        <v>14</v>
      </c>
      <c r="D227" s="12" t="s">
        <v>88</v>
      </c>
      <c r="E227" s="87" t="str">
        <f>VLOOKUP($C227,'Seznam aktivit'!$B$3:$H$32,2)</f>
        <v>31.10.2025</v>
      </c>
      <c r="F227" s="88">
        <f>VLOOKUP($C227,'Seznam aktivit'!$B$3:$H$32,4)</f>
        <v>1</v>
      </c>
      <c r="G227" s="89" t="str">
        <f>VLOOKUP($C227,'Seznam aktivit'!$B$3:$H$32,5)</f>
        <v>Vzdělávání s využitím nových technologií</v>
      </c>
      <c r="H227" s="89" t="str">
        <f>VLOOKUP($C227,'Seznam aktivit'!$B$3:$H$32,6)</f>
        <v>Vzdělávání s využitím nových technologií</v>
      </c>
      <c r="I227" s="90" t="str">
        <f>VLOOKUP($C227,'Seznam aktivit'!$B$3:$H$32,7)</f>
        <v>M. Hanuš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0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0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1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14Juráň Jindřich</v>
      </c>
      <c r="C228" s="66">
        <v>14</v>
      </c>
      <c r="D228" s="12" t="s">
        <v>90</v>
      </c>
      <c r="E228" s="87" t="str">
        <f>VLOOKUP($C228,'Seznam aktivit'!$B$3:$H$32,2)</f>
        <v>31.10.2025</v>
      </c>
      <c r="F228" s="88">
        <f>VLOOKUP($C228,'Seznam aktivit'!$B$3:$H$32,4)</f>
        <v>1</v>
      </c>
      <c r="G228" s="89" t="str">
        <f>VLOOKUP($C228,'Seznam aktivit'!$B$3:$H$32,5)</f>
        <v>Vzdělávání s využitím nových technologií</v>
      </c>
      <c r="H228" s="89" t="str">
        <f>VLOOKUP($C228,'Seznam aktivit'!$B$3:$H$32,6)</f>
        <v>Vzdělávání s využitím nových technologií</v>
      </c>
      <c r="I228" s="90" t="str">
        <f>VLOOKUP($C228,'Seznam aktivit'!$B$3:$H$32,7)</f>
        <v>M. Hanuš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0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0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1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14Krywdová Eliška</v>
      </c>
      <c r="C229" s="66">
        <v>14</v>
      </c>
      <c r="D229" s="12" t="s">
        <v>91</v>
      </c>
      <c r="E229" s="87" t="str">
        <f>VLOOKUP($C229,'Seznam aktivit'!$B$3:$H$32,2)</f>
        <v>31.10.2025</v>
      </c>
      <c r="F229" s="88">
        <f>VLOOKUP($C229,'Seznam aktivit'!$B$3:$H$32,4)</f>
        <v>1</v>
      </c>
      <c r="G229" s="89" t="str">
        <f>VLOOKUP($C229,'Seznam aktivit'!$B$3:$H$32,5)</f>
        <v>Vzdělávání s využitím nových technologií</v>
      </c>
      <c r="H229" s="89" t="str">
        <f>VLOOKUP($C229,'Seznam aktivit'!$B$3:$H$32,6)</f>
        <v>Vzdělávání s využitím nových technologií</v>
      </c>
      <c r="I229" s="90" t="str">
        <f>VLOOKUP($C229,'Seznam aktivit'!$B$3:$H$32,7)</f>
        <v>M. Hanuš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0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0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1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14Marko Radek</v>
      </c>
      <c r="C230" s="66">
        <v>14</v>
      </c>
      <c r="D230" s="12" t="s">
        <v>92</v>
      </c>
      <c r="E230" s="87" t="str">
        <f>VLOOKUP($C230,'Seznam aktivit'!$B$3:$H$32,2)</f>
        <v>31.10.2025</v>
      </c>
      <c r="F230" s="88">
        <f>VLOOKUP($C230,'Seznam aktivit'!$B$3:$H$32,4)</f>
        <v>1</v>
      </c>
      <c r="G230" s="89" t="str">
        <f>VLOOKUP($C230,'Seznam aktivit'!$B$3:$H$32,5)</f>
        <v>Vzdělávání s využitím nových technologií</v>
      </c>
      <c r="H230" s="89" t="str">
        <f>VLOOKUP($C230,'Seznam aktivit'!$B$3:$H$32,6)</f>
        <v>Vzdělávání s využitím nových technologií</v>
      </c>
      <c r="I230" s="90" t="str">
        <f>VLOOKUP($C230,'Seznam aktivit'!$B$3:$H$32,7)</f>
        <v>M. Hanuš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0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0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1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14Patrman Ondřej</v>
      </c>
      <c r="C231" s="66">
        <v>14</v>
      </c>
      <c r="D231" s="12" t="s">
        <v>94</v>
      </c>
      <c r="E231" s="87" t="str">
        <f>VLOOKUP($C231,'Seznam aktivit'!$B$3:$H$32,2)</f>
        <v>31.10.2025</v>
      </c>
      <c r="F231" s="88">
        <f>VLOOKUP($C231,'Seznam aktivit'!$B$3:$H$32,4)</f>
        <v>1</v>
      </c>
      <c r="G231" s="89" t="str">
        <f>VLOOKUP($C231,'Seznam aktivit'!$B$3:$H$32,5)</f>
        <v>Vzdělávání s využitím nových technologií</v>
      </c>
      <c r="H231" s="89" t="str">
        <f>VLOOKUP($C231,'Seznam aktivit'!$B$3:$H$32,6)</f>
        <v>Vzdělávání s využitím nových technologií</v>
      </c>
      <c r="I231" s="90" t="str">
        <f>VLOOKUP($C231,'Seznam aktivit'!$B$3:$H$32,7)</f>
        <v>M. Hanuš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0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0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1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14Polák Filip</v>
      </c>
      <c r="C232" s="66">
        <v>14</v>
      </c>
      <c r="D232" s="12" t="s">
        <v>95</v>
      </c>
      <c r="E232" s="87" t="str">
        <f>VLOOKUP($C232,'Seznam aktivit'!$B$3:$H$32,2)</f>
        <v>31.10.2025</v>
      </c>
      <c r="F232" s="88">
        <f>VLOOKUP($C232,'Seznam aktivit'!$B$3:$H$32,4)</f>
        <v>1</v>
      </c>
      <c r="G232" s="89" t="str">
        <f>VLOOKUP($C232,'Seznam aktivit'!$B$3:$H$32,5)</f>
        <v>Vzdělávání s využitím nových technologií</v>
      </c>
      <c r="H232" s="89" t="str">
        <f>VLOOKUP($C232,'Seznam aktivit'!$B$3:$H$32,6)</f>
        <v>Vzdělávání s využitím nových technologií</v>
      </c>
      <c r="I232" s="90" t="str">
        <f>VLOOKUP($C232,'Seznam aktivit'!$B$3:$H$32,7)</f>
        <v>M. Hanuš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0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0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1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14Poliaková Julie</v>
      </c>
      <c r="C233" s="66">
        <v>14</v>
      </c>
      <c r="D233" s="12" t="s">
        <v>96</v>
      </c>
      <c r="E233" s="87" t="str">
        <f>VLOOKUP($C233,'Seznam aktivit'!$B$3:$H$32,2)</f>
        <v>31.10.2025</v>
      </c>
      <c r="F233" s="88">
        <f>VLOOKUP($C233,'Seznam aktivit'!$B$3:$H$32,4)</f>
        <v>1</v>
      </c>
      <c r="G233" s="89" t="str">
        <f>VLOOKUP($C233,'Seznam aktivit'!$B$3:$H$32,5)</f>
        <v>Vzdělávání s využitím nových technologií</v>
      </c>
      <c r="H233" s="89" t="str">
        <f>VLOOKUP($C233,'Seznam aktivit'!$B$3:$H$32,6)</f>
        <v>Vzdělávání s využitím nových technologií</v>
      </c>
      <c r="I233" s="90" t="str">
        <f>VLOOKUP($C233,'Seznam aktivit'!$B$3:$H$32,7)</f>
        <v>M. Hanuš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0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0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1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14Přecechtěl František</v>
      </c>
      <c r="C234" s="66">
        <v>14</v>
      </c>
      <c r="D234" s="12" t="s">
        <v>97</v>
      </c>
      <c r="E234" s="87" t="str">
        <f>VLOOKUP($C234,'Seznam aktivit'!$B$3:$H$32,2)</f>
        <v>31.10.2025</v>
      </c>
      <c r="F234" s="88">
        <f>VLOOKUP($C234,'Seznam aktivit'!$B$3:$H$32,4)</f>
        <v>1</v>
      </c>
      <c r="G234" s="89" t="str">
        <f>VLOOKUP($C234,'Seznam aktivit'!$B$3:$H$32,5)</f>
        <v>Vzdělávání s využitím nových technologií</v>
      </c>
      <c r="H234" s="89" t="str">
        <f>VLOOKUP($C234,'Seznam aktivit'!$B$3:$H$32,6)</f>
        <v>Vzdělávání s využitím nových technologií</v>
      </c>
      <c r="I234" s="90" t="str">
        <f>VLOOKUP($C234,'Seznam aktivit'!$B$3:$H$32,7)</f>
        <v>M. Hanuš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0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0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1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14Semančíková Anežka</v>
      </c>
      <c r="C235" s="66">
        <v>14</v>
      </c>
      <c r="D235" s="12" t="s">
        <v>98</v>
      </c>
      <c r="E235" s="87" t="str">
        <f>VLOOKUP($C235,'Seznam aktivit'!$B$3:$H$32,2)</f>
        <v>31.10.2025</v>
      </c>
      <c r="F235" s="88">
        <f>VLOOKUP($C235,'Seznam aktivit'!$B$3:$H$32,4)</f>
        <v>1</v>
      </c>
      <c r="G235" s="89" t="str">
        <f>VLOOKUP($C235,'Seznam aktivit'!$B$3:$H$32,5)</f>
        <v>Vzdělávání s využitím nových technologií</v>
      </c>
      <c r="H235" s="89" t="str">
        <f>VLOOKUP($C235,'Seznam aktivit'!$B$3:$H$32,6)</f>
        <v>Vzdělávání s využitím nových technologií</v>
      </c>
      <c r="I235" s="90" t="str">
        <f>VLOOKUP($C235,'Seznam aktivit'!$B$3:$H$32,7)</f>
        <v>M. Hanuš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0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0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1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14Soška Filip</v>
      </c>
      <c r="C236" s="66">
        <v>14</v>
      </c>
      <c r="D236" s="12" t="s">
        <v>99</v>
      </c>
      <c r="E236" s="87" t="str">
        <f>VLOOKUP($C236,'Seznam aktivit'!$B$3:$H$32,2)</f>
        <v>31.10.2025</v>
      </c>
      <c r="F236" s="88">
        <f>VLOOKUP($C236,'Seznam aktivit'!$B$3:$H$32,4)</f>
        <v>1</v>
      </c>
      <c r="G236" s="89" t="str">
        <f>VLOOKUP($C236,'Seznam aktivit'!$B$3:$H$32,5)</f>
        <v>Vzdělávání s využitím nových technologií</v>
      </c>
      <c r="H236" s="89" t="str">
        <f>VLOOKUP($C236,'Seznam aktivit'!$B$3:$H$32,6)</f>
        <v>Vzdělávání s využitím nových technologií</v>
      </c>
      <c r="I236" s="90" t="str">
        <f>VLOOKUP($C236,'Seznam aktivit'!$B$3:$H$32,7)</f>
        <v>M. Hanuš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0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0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1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14Trávníčková Anastázie</v>
      </c>
      <c r="C237" s="66">
        <v>14</v>
      </c>
      <c r="D237" s="12" t="s">
        <v>100</v>
      </c>
      <c r="E237" s="87" t="str">
        <f>VLOOKUP($C237,'Seznam aktivit'!$B$3:$H$32,2)</f>
        <v>31.10.2025</v>
      </c>
      <c r="F237" s="88">
        <f>VLOOKUP($C237,'Seznam aktivit'!$B$3:$H$32,4)</f>
        <v>1</v>
      </c>
      <c r="G237" s="89" t="str">
        <f>VLOOKUP($C237,'Seznam aktivit'!$B$3:$H$32,5)</f>
        <v>Vzdělávání s využitím nových technologií</v>
      </c>
      <c r="H237" s="89" t="str">
        <f>VLOOKUP($C237,'Seznam aktivit'!$B$3:$H$32,6)</f>
        <v>Vzdělávání s využitím nových technologií</v>
      </c>
      <c r="I237" s="90" t="str">
        <f>VLOOKUP($C237,'Seznam aktivit'!$B$3:$H$32,7)</f>
        <v>M. Hanuš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0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0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1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14Vala Tomáš</v>
      </c>
      <c r="C238" s="66">
        <v>14</v>
      </c>
      <c r="D238" s="12" t="s">
        <v>101</v>
      </c>
      <c r="E238" s="87" t="str">
        <f>VLOOKUP($C238,'Seznam aktivit'!$B$3:$H$32,2)</f>
        <v>31.10.2025</v>
      </c>
      <c r="F238" s="88">
        <f>VLOOKUP($C238,'Seznam aktivit'!$B$3:$H$32,4)</f>
        <v>1</v>
      </c>
      <c r="G238" s="89" t="str">
        <f>VLOOKUP($C238,'Seznam aktivit'!$B$3:$H$32,5)</f>
        <v>Vzdělávání s využitím nových technologií</v>
      </c>
      <c r="H238" s="89" t="str">
        <f>VLOOKUP($C238,'Seznam aktivit'!$B$3:$H$32,6)</f>
        <v>Vzdělávání s využitím nových technologií</v>
      </c>
      <c r="I238" s="90" t="str">
        <f>VLOOKUP($C238,'Seznam aktivit'!$B$3:$H$32,7)</f>
        <v>M. Hanuš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0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0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1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15Antala Štěpán</v>
      </c>
      <c r="C239" s="66">
        <v>15</v>
      </c>
      <c r="D239" s="12" t="s">
        <v>82</v>
      </c>
      <c r="E239" s="87" t="str">
        <f>VLOOKUP($C239,'Seznam aktivit'!$B$3:$H$32,2)</f>
        <v>05.11.2025</v>
      </c>
      <c r="F239" s="88">
        <f>VLOOKUP($C239,'Seznam aktivit'!$B$3:$H$32,4)</f>
        <v>1</v>
      </c>
      <c r="G239" s="89" t="str">
        <f>VLOOKUP($C239,'Seznam aktivit'!$B$3:$H$32,5)</f>
        <v>Vzdělávání s využitím nových technologií</v>
      </c>
      <c r="H239" s="89" t="str">
        <f>VLOOKUP($C239,'Seznam aktivit'!$B$3:$H$32,6)</f>
        <v>Vzdělávání s využitím nových technologií</v>
      </c>
      <c r="I239" s="90" t="str">
        <f>VLOOKUP($C239,'Seznam aktivit'!$B$3:$H$32,7)</f>
        <v>M. Hanuš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0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0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1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15Benč Patrik</v>
      </c>
      <c r="C240" s="66">
        <v>15</v>
      </c>
      <c r="D240" s="12" t="s">
        <v>83</v>
      </c>
      <c r="E240" s="87" t="str">
        <f>VLOOKUP($C240,'Seznam aktivit'!$B$3:$H$32,2)</f>
        <v>05.11.2025</v>
      </c>
      <c r="F240" s="88">
        <f>VLOOKUP($C240,'Seznam aktivit'!$B$3:$H$32,4)</f>
        <v>1</v>
      </c>
      <c r="G240" s="89" t="str">
        <f>VLOOKUP($C240,'Seznam aktivit'!$B$3:$H$32,5)</f>
        <v>Vzdělávání s využitím nových technologií</v>
      </c>
      <c r="H240" s="89" t="str">
        <f>VLOOKUP($C240,'Seznam aktivit'!$B$3:$H$32,6)</f>
        <v>Vzdělávání s využitím nových technologií</v>
      </c>
      <c r="I240" s="90" t="str">
        <f>VLOOKUP($C240,'Seznam aktivit'!$B$3:$H$32,7)</f>
        <v>M. Hanuš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0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0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1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15Boruvka Matyáš</v>
      </c>
      <c r="C241" s="66">
        <v>15</v>
      </c>
      <c r="D241" s="12" t="s">
        <v>84</v>
      </c>
      <c r="E241" s="87" t="str">
        <f>VLOOKUP($C241,'Seznam aktivit'!$B$3:$H$32,2)</f>
        <v>05.11.2025</v>
      </c>
      <c r="F241" s="88">
        <f>VLOOKUP($C241,'Seznam aktivit'!$B$3:$H$32,4)</f>
        <v>1</v>
      </c>
      <c r="G241" s="89" t="str">
        <f>VLOOKUP($C241,'Seznam aktivit'!$B$3:$H$32,5)</f>
        <v>Vzdělávání s využitím nových technologií</v>
      </c>
      <c r="H241" s="89" t="str">
        <f>VLOOKUP($C241,'Seznam aktivit'!$B$3:$H$32,6)</f>
        <v>Vzdělávání s využitím nových technologií</v>
      </c>
      <c r="I241" s="90" t="str">
        <f>VLOOKUP($C241,'Seznam aktivit'!$B$3:$H$32,7)</f>
        <v>M. Hanuš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0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0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1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15Brenkusová Vanesa</v>
      </c>
      <c r="C242" s="66">
        <v>15</v>
      </c>
      <c r="D242" s="12" t="s">
        <v>85</v>
      </c>
      <c r="E242" s="87" t="str">
        <f>VLOOKUP($C242,'Seznam aktivit'!$B$3:$H$32,2)</f>
        <v>05.11.2025</v>
      </c>
      <c r="F242" s="88">
        <f>VLOOKUP($C242,'Seznam aktivit'!$B$3:$H$32,4)</f>
        <v>1</v>
      </c>
      <c r="G242" s="89" t="str">
        <f>VLOOKUP($C242,'Seznam aktivit'!$B$3:$H$32,5)</f>
        <v>Vzdělávání s využitím nových technologií</v>
      </c>
      <c r="H242" s="89" t="str">
        <f>VLOOKUP($C242,'Seznam aktivit'!$B$3:$H$32,6)</f>
        <v>Vzdělávání s využitím nových technologií</v>
      </c>
      <c r="I242" s="90" t="str">
        <f>VLOOKUP($C242,'Seznam aktivit'!$B$3:$H$32,7)</f>
        <v>M. Hanuš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0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0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1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15Hájková Valérie</v>
      </c>
      <c r="C243" s="66">
        <v>15</v>
      </c>
      <c r="D243" s="12" t="s">
        <v>87</v>
      </c>
      <c r="E243" s="87" t="str">
        <f>VLOOKUP($C243,'Seznam aktivit'!$B$3:$H$32,2)</f>
        <v>05.11.2025</v>
      </c>
      <c r="F243" s="88">
        <f>VLOOKUP($C243,'Seznam aktivit'!$B$3:$H$32,4)</f>
        <v>1</v>
      </c>
      <c r="G243" s="89" t="str">
        <f>VLOOKUP($C243,'Seznam aktivit'!$B$3:$H$32,5)</f>
        <v>Vzdělávání s využitím nových technologií</v>
      </c>
      <c r="H243" s="89" t="str">
        <f>VLOOKUP($C243,'Seznam aktivit'!$B$3:$H$32,6)</f>
        <v>Vzdělávání s využitím nových technologií</v>
      </c>
      <c r="I243" s="90" t="str">
        <f>VLOOKUP($C243,'Seznam aktivit'!$B$3:$H$32,7)</f>
        <v>M. Hanuš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0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0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1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15Chudý Dominik</v>
      </c>
      <c r="C244" s="66">
        <v>15</v>
      </c>
      <c r="D244" s="12" t="s">
        <v>88</v>
      </c>
      <c r="E244" s="87" t="str">
        <f>VLOOKUP($C244,'Seznam aktivit'!$B$3:$H$32,2)</f>
        <v>05.11.2025</v>
      </c>
      <c r="F244" s="88">
        <f>VLOOKUP($C244,'Seznam aktivit'!$B$3:$H$32,4)</f>
        <v>1</v>
      </c>
      <c r="G244" s="89" t="str">
        <f>VLOOKUP($C244,'Seznam aktivit'!$B$3:$H$32,5)</f>
        <v>Vzdělávání s využitím nových technologií</v>
      </c>
      <c r="H244" s="89" t="str">
        <f>VLOOKUP($C244,'Seznam aktivit'!$B$3:$H$32,6)</f>
        <v>Vzdělávání s využitím nových technologií</v>
      </c>
      <c r="I244" s="90" t="str">
        <f>VLOOKUP($C244,'Seznam aktivit'!$B$3:$H$32,7)</f>
        <v>M. Hanuš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0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0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1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15Ježková Vendula</v>
      </c>
      <c r="C245" s="66">
        <v>15</v>
      </c>
      <c r="D245" s="12" t="s">
        <v>89</v>
      </c>
      <c r="E245" s="87" t="str">
        <f>VLOOKUP($C245,'Seznam aktivit'!$B$3:$H$32,2)</f>
        <v>05.11.2025</v>
      </c>
      <c r="F245" s="88">
        <f>VLOOKUP($C245,'Seznam aktivit'!$B$3:$H$32,4)</f>
        <v>1</v>
      </c>
      <c r="G245" s="89" t="str">
        <f>VLOOKUP($C245,'Seznam aktivit'!$B$3:$H$32,5)</f>
        <v>Vzdělávání s využitím nových technologií</v>
      </c>
      <c r="H245" s="89" t="str">
        <f>VLOOKUP($C245,'Seznam aktivit'!$B$3:$H$32,6)</f>
        <v>Vzdělávání s využitím nových technologií</v>
      </c>
      <c r="I245" s="90" t="str">
        <f>VLOOKUP($C245,'Seznam aktivit'!$B$3:$H$32,7)</f>
        <v>M. Hanuš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0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0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1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15Krywdová Eliška</v>
      </c>
      <c r="C246" s="66">
        <v>15</v>
      </c>
      <c r="D246" s="12" t="s">
        <v>91</v>
      </c>
      <c r="E246" s="87" t="str">
        <f>VLOOKUP($C246,'Seznam aktivit'!$B$3:$H$32,2)</f>
        <v>05.11.2025</v>
      </c>
      <c r="F246" s="88">
        <f>VLOOKUP($C246,'Seznam aktivit'!$B$3:$H$32,4)</f>
        <v>1</v>
      </c>
      <c r="G246" s="89" t="str">
        <f>VLOOKUP($C246,'Seznam aktivit'!$B$3:$H$32,5)</f>
        <v>Vzdělávání s využitím nových technologií</v>
      </c>
      <c r="H246" s="89" t="str">
        <f>VLOOKUP($C246,'Seznam aktivit'!$B$3:$H$32,6)</f>
        <v>Vzdělávání s využitím nových technologií</v>
      </c>
      <c r="I246" s="90" t="str">
        <f>VLOOKUP($C246,'Seznam aktivit'!$B$3:$H$32,7)</f>
        <v>M. Hanuš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0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0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1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15Marko Radek</v>
      </c>
      <c r="C247" s="66">
        <v>15</v>
      </c>
      <c r="D247" s="12" t="s">
        <v>92</v>
      </c>
      <c r="E247" s="87" t="str">
        <f>VLOOKUP($C247,'Seznam aktivit'!$B$3:$H$32,2)</f>
        <v>05.11.2025</v>
      </c>
      <c r="F247" s="88">
        <f>VLOOKUP($C247,'Seznam aktivit'!$B$3:$H$32,4)</f>
        <v>1</v>
      </c>
      <c r="G247" s="89" t="str">
        <f>VLOOKUP($C247,'Seznam aktivit'!$B$3:$H$32,5)</f>
        <v>Vzdělávání s využitím nových technologií</v>
      </c>
      <c r="H247" s="89" t="str">
        <f>VLOOKUP($C247,'Seznam aktivit'!$B$3:$H$32,6)</f>
        <v>Vzdělávání s využitím nových technologií</v>
      </c>
      <c r="I247" s="90" t="str">
        <f>VLOOKUP($C247,'Seznam aktivit'!$B$3:$H$32,7)</f>
        <v>M. Hanuš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0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0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1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15Ondříšek Václav</v>
      </c>
      <c r="C248" s="66">
        <v>15</v>
      </c>
      <c r="D248" s="12" t="s">
        <v>93</v>
      </c>
      <c r="E248" s="87" t="str">
        <f>VLOOKUP($C248,'Seznam aktivit'!$B$3:$H$32,2)</f>
        <v>05.11.2025</v>
      </c>
      <c r="F248" s="88">
        <f>VLOOKUP($C248,'Seznam aktivit'!$B$3:$H$32,4)</f>
        <v>1</v>
      </c>
      <c r="G248" s="89" t="str">
        <f>VLOOKUP($C248,'Seznam aktivit'!$B$3:$H$32,5)</f>
        <v>Vzdělávání s využitím nových technologií</v>
      </c>
      <c r="H248" s="89" t="str">
        <f>VLOOKUP($C248,'Seznam aktivit'!$B$3:$H$32,6)</f>
        <v>Vzdělávání s využitím nových technologií</v>
      </c>
      <c r="I248" s="90" t="str">
        <f>VLOOKUP($C248,'Seznam aktivit'!$B$3:$H$32,7)</f>
        <v>M. Hanuš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0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0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1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15Polák Filip</v>
      </c>
      <c r="C249" s="66">
        <v>15</v>
      </c>
      <c r="D249" s="12" t="s">
        <v>95</v>
      </c>
      <c r="E249" s="87" t="str">
        <f>VLOOKUP($C249,'Seznam aktivit'!$B$3:$H$32,2)</f>
        <v>05.11.2025</v>
      </c>
      <c r="F249" s="88">
        <f>VLOOKUP($C249,'Seznam aktivit'!$B$3:$H$32,4)</f>
        <v>1</v>
      </c>
      <c r="G249" s="89" t="str">
        <f>VLOOKUP($C249,'Seznam aktivit'!$B$3:$H$32,5)</f>
        <v>Vzdělávání s využitím nových technologií</v>
      </c>
      <c r="H249" s="89" t="str">
        <f>VLOOKUP($C249,'Seznam aktivit'!$B$3:$H$32,6)</f>
        <v>Vzdělávání s využitím nových technologií</v>
      </c>
      <c r="I249" s="90" t="str">
        <f>VLOOKUP($C249,'Seznam aktivit'!$B$3:$H$32,7)</f>
        <v>M. Hanuš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0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0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1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15Přecechtěl František</v>
      </c>
      <c r="C250" s="66">
        <v>15</v>
      </c>
      <c r="D250" s="12" t="s">
        <v>97</v>
      </c>
      <c r="E250" s="87" t="str">
        <f>VLOOKUP($C250,'Seznam aktivit'!$B$3:$H$32,2)</f>
        <v>05.11.2025</v>
      </c>
      <c r="F250" s="88">
        <f>VLOOKUP($C250,'Seznam aktivit'!$B$3:$H$32,4)</f>
        <v>1</v>
      </c>
      <c r="G250" s="89" t="str">
        <f>VLOOKUP($C250,'Seznam aktivit'!$B$3:$H$32,5)</f>
        <v>Vzdělávání s využitím nových technologií</v>
      </c>
      <c r="H250" s="89" t="str">
        <f>VLOOKUP($C250,'Seznam aktivit'!$B$3:$H$32,6)</f>
        <v>Vzdělávání s využitím nových technologií</v>
      </c>
      <c r="I250" s="90" t="str">
        <f>VLOOKUP($C250,'Seznam aktivit'!$B$3:$H$32,7)</f>
        <v>M. Hanuš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0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0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1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15Semančíková Anežka</v>
      </c>
      <c r="C251" s="66">
        <v>15</v>
      </c>
      <c r="D251" s="12" t="s">
        <v>98</v>
      </c>
      <c r="E251" s="87" t="str">
        <f>VLOOKUP($C251,'Seznam aktivit'!$B$3:$H$32,2)</f>
        <v>05.11.2025</v>
      </c>
      <c r="F251" s="88">
        <f>VLOOKUP($C251,'Seznam aktivit'!$B$3:$H$32,4)</f>
        <v>1</v>
      </c>
      <c r="G251" s="89" t="str">
        <f>VLOOKUP($C251,'Seznam aktivit'!$B$3:$H$32,5)</f>
        <v>Vzdělávání s využitím nových technologií</v>
      </c>
      <c r="H251" s="89" t="str">
        <f>VLOOKUP($C251,'Seznam aktivit'!$B$3:$H$32,6)</f>
        <v>Vzdělávání s využitím nových technologií</v>
      </c>
      <c r="I251" s="90" t="str">
        <f>VLOOKUP($C251,'Seznam aktivit'!$B$3:$H$32,7)</f>
        <v>M. Hanuš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0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0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1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15Trávníčková Anastázie</v>
      </c>
      <c r="C252" s="66">
        <v>15</v>
      </c>
      <c r="D252" s="12" t="s">
        <v>100</v>
      </c>
      <c r="E252" s="87" t="str">
        <f>VLOOKUP($C252,'Seznam aktivit'!$B$3:$H$32,2)</f>
        <v>05.11.2025</v>
      </c>
      <c r="F252" s="88">
        <f>VLOOKUP($C252,'Seznam aktivit'!$B$3:$H$32,4)</f>
        <v>1</v>
      </c>
      <c r="G252" s="89" t="str">
        <f>VLOOKUP($C252,'Seznam aktivit'!$B$3:$H$32,5)</f>
        <v>Vzdělávání s využitím nových technologií</v>
      </c>
      <c r="H252" s="89" t="str">
        <f>VLOOKUP($C252,'Seznam aktivit'!$B$3:$H$32,6)</f>
        <v>Vzdělávání s využitím nových technologií</v>
      </c>
      <c r="I252" s="90" t="str">
        <f>VLOOKUP($C252,'Seznam aktivit'!$B$3:$H$32,7)</f>
        <v>M. Hanuš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0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0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1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15Vala Tomáš</v>
      </c>
      <c r="C253" s="66">
        <v>15</v>
      </c>
      <c r="D253" s="12" t="s">
        <v>101</v>
      </c>
      <c r="E253" s="87" t="str">
        <f>VLOOKUP($C253,'Seznam aktivit'!$B$3:$H$32,2)</f>
        <v>05.11.2025</v>
      </c>
      <c r="F253" s="88">
        <f>VLOOKUP($C253,'Seznam aktivit'!$B$3:$H$32,4)</f>
        <v>1</v>
      </c>
      <c r="G253" s="89" t="str">
        <f>VLOOKUP($C253,'Seznam aktivit'!$B$3:$H$32,5)</f>
        <v>Vzdělávání s využitím nových technologií</v>
      </c>
      <c r="H253" s="89" t="str">
        <f>VLOOKUP($C253,'Seznam aktivit'!$B$3:$H$32,6)</f>
        <v>Vzdělávání s využitím nových technologií</v>
      </c>
      <c r="I253" s="90" t="str">
        <f>VLOOKUP($C253,'Seznam aktivit'!$B$3:$H$32,7)</f>
        <v>M. Hanuš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0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0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1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16Antala Štěpán</v>
      </c>
      <c r="C254" s="66">
        <v>16</v>
      </c>
      <c r="D254" s="12" t="s">
        <v>82</v>
      </c>
      <c r="E254" s="87" t="str">
        <f>VLOOKUP($C254,'Seznam aktivit'!$B$3:$H$32,2)</f>
        <v>07.11.2025</v>
      </c>
      <c r="F254" s="88">
        <f>VLOOKUP($C254,'Seznam aktivit'!$B$3:$H$32,4)</f>
        <v>1</v>
      </c>
      <c r="G254" s="89" t="str">
        <f>VLOOKUP($C254,'Seznam aktivit'!$B$3:$H$32,5)</f>
        <v>Propojování neformálního a formálního vzdělávání</v>
      </c>
      <c r="H254" s="89" t="str">
        <f>VLOOKUP($C254,'Seznam aktivit'!$B$3:$H$32,6)</f>
        <v>Vzdělávání pro udržitelný rozvoj – např. EVVO, klimatické vzdělávání, principy místně zakotveného učení</v>
      </c>
      <c r="I254" s="90" t="str">
        <f>VLOOKUP($C254,'Seznam aktivit'!$B$3:$H$32,7)</f>
        <v>M. Hanuš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0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1</v>
      </c>
      <c r="R254" s="32">
        <f t="shared" si="42"/>
        <v>0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1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16Benč Patrik</v>
      </c>
      <c r="C255" s="66">
        <v>16</v>
      </c>
      <c r="D255" s="12" t="s">
        <v>83</v>
      </c>
      <c r="E255" s="87" t="str">
        <f>VLOOKUP($C255,'Seznam aktivit'!$B$3:$H$32,2)</f>
        <v>07.11.2025</v>
      </c>
      <c r="F255" s="88">
        <f>VLOOKUP($C255,'Seznam aktivit'!$B$3:$H$32,4)</f>
        <v>1</v>
      </c>
      <c r="G255" s="89" t="str">
        <f>VLOOKUP($C255,'Seznam aktivit'!$B$3:$H$32,5)</f>
        <v>Propojování neformálního a formálního vzdělávání</v>
      </c>
      <c r="H255" s="89" t="str">
        <f>VLOOKUP($C255,'Seznam aktivit'!$B$3:$H$32,6)</f>
        <v>Vzdělávání pro udržitelný rozvoj – např. EVVO, klimatické vzdělávání, principy místně zakotveného učení</v>
      </c>
      <c r="I255" s="90" t="str">
        <f>VLOOKUP($C255,'Seznam aktivit'!$B$3:$H$32,7)</f>
        <v>M. Hanuš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0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1</v>
      </c>
      <c r="R255" s="32">
        <f t="shared" si="42"/>
        <v>0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1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16Boruvka Matyáš</v>
      </c>
      <c r="C256" s="66">
        <v>16</v>
      </c>
      <c r="D256" s="12" t="s">
        <v>84</v>
      </c>
      <c r="E256" s="87" t="str">
        <f>VLOOKUP($C256,'Seznam aktivit'!$B$3:$H$32,2)</f>
        <v>07.11.2025</v>
      </c>
      <c r="F256" s="88">
        <f>VLOOKUP($C256,'Seznam aktivit'!$B$3:$H$32,4)</f>
        <v>1</v>
      </c>
      <c r="G256" s="89" t="str">
        <f>VLOOKUP($C256,'Seznam aktivit'!$B$3:$H$32,5)</f>
        <v>Propojování neformálního a formálního vzdělávání</v>
      </c>
      <c r="H256" s="89" t="str">
        <f>VLOOKUP($C256,'Seznam aktivit'!$B$3:$H$32,6)</f>
        <v>Vzdělávání pro udržitelný rozvoj – např. EVVO, klimatické vzdělávání, principy místně zakotveného učení</v>
      </c>
      <c r="I256" s="90" t="str">
        <f>VLOOKUP($C256,'Seznam aktivit'!$B$3:$H$32,7)</f>
        <v>M. Hanuš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0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1</v>
      </c>
      <c r="R256" s="32">
        <f t="shared" si="42"/>
        <v>0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1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16Brenkusová Vanesa</v>
      </c>
      <c r="C257" s="66">
        <v>16</v>
      </c>
      <c r="D257" s="12" t="s">
        <v>85</v>
      </c>
      <c r="E257" s="87" t="str">
        <f>VLOOKUP($C257,'Seznam aktivit'!$B$3:$H$32,2)</f>
        <v>07.11.2025</v>
      </c>
      <c r="F257" s="88">
        <f>VLOOKUP($C257,'Seznam aktivit'!$B$3:$H$32,4)</f>
        <v>1</v>
      </c>
      <c r="G257" s="89" t="str">
        <f>VLOOKUP($C257,'Seznam aktivit'!$B$3:$H$32,5)</f>
        <v>Propojování neformálního a formálního vzdělávání</v>
      </c>
      <c r="H257" s="89" t="str">
        <f>VLOOKUP($C257,'Seznam aktivit'!$B$3:$H$32,6)</f>
        <v>Vzdělávání pro udržitelný rozvoj – např. EVVO, klimatické vzdělávání, principy místně zakotveného učení</v>
      </c>
      <c r="I257" s="90" t="str">
        <f>VLOOKUP($C257,'Seznam aktivit'!$B$3:$H$32,7)</f>
        <v>M. Hanuš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0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1</v>
      </c>
      <c r="R257" s="32">
        <f t="shared" si="42"/>
        <v>0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1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16Brixelová Elen</v>
      </c>
      <c r="C258" s="66">
        <v>16</v>
      </c>
      <c r="D258" s="12" t="s">
        <v>86</v>
      </c>
      <c r="E258" s="87" t="str">
        <f>VLOOKUP($C258,'Seznam aktivit'!$B$3:$H$32,2)</f>
        <v>07.11.2025</v>
      </c>
      <c r="F258" s="88">
        <f>VLOOKUP($C258,'Seznam aktivit'!$B$3:$H$32,4)</f>
        <v>1</v>
      </c>
      <c r="G258" s="89" t="str">
        <f>VLOOKUP($C258,'Seznam aktivit'!$B$3:$H$32,5)</f>
        <v>Propojování neformálního a formálního vzdělávání</v>
      </c>
      <c r="H258" s="89" t="str">
        <f>VLOOKUP($C258,'Seznam aktivit'!$B$3:$H$32,6)</f>
        <v>Vzdělávání pro udržitelný rozvoj – např. EVVO, klimatické vzdělávání, principy místně zakotveného učení</v>
      </c>
      <c r="I258" s="90" t="str">
        <f>VLOOKUP($C258,'Seznam aktivit'!$B$3:$H$32,7)</f>
        <v>M. Hanuš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0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1</v>
      </c>
      <c r="R258" s="32">
        <f t="shared" si="42"/>
        <v>0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1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16Chudý Dominik</v>
      </c>
      <c r="C259" s="66">
        <v>16</v>
      </c>
      <c r="D259" s="12" t="s">
        <v>88</v>
      </c>
      <c r="E259" s="87" t="str">
        <f>VLOOKUP($C259,'Seznam aktivit'!$B$3:$H$32,2)</f>
        <v>07.11.2025</v>
      </c>
      <c r="F259" s="88">
        <f>VLOOKUP($C259,'Seznam aktivit'!$B$3:$H$32,4)</f>
        <v>1</v>
      </c>
      <c r="G259" s="89" t="str">
        <f>VLOOKUP($C259,'Seznam aktivit'!$B$3:$H$32,5)</f>
        <v>Propojování neformálního a formálního vzdělávání</v>
      </c>
      <c r="H259" s="89" t="str">
        <f>VLOOKUP($C259,'Seznam aktivit'!$B$3:$H$32,6)</f>
        <v>Vzdělávání pro udržitelný rozvoj – např. EVVO, klimatické vzdělávání, principy místně zakotveného učení</v>
      </c>
      <c r="I259" s="90" t="str">
        <f>VLOOKUP($C259,'Seznam aktivit'!$B$3:$H$32,7)</f>
        <v>M. Hanuš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0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1</v>
      </c>
      <c r="R259" s="32">
        <f t="shared" si="42"/>
        <v>0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1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16Ježková Vendula</v>
      </c>
      <c r="C260" s="66">
        <v>16</v>
      </c>
      <c r="D260" s="12" t="s">
        <v>89</v>
      </c>
      <c r="E260" s="87" t="str">
        <f>VLOOKUP($C260,'Seznam aktivit'!$B$3:$H$32,2)</f>
        <v>07.11.2025</v>
      </c>
      <c r="F260" s="88">
        <f>VLOOKUP($C260,'Seznam aktivit'!$B$3:$H$32,4)</f>
        <v>1</v>
      </c>
      <c r="G260" s="89" t="str">
        <f>VLOOKUP($C260,'Seznam aktivit'!$B$3:$H$32,5)</f>
        <v>Propojování neformálního a formálního vzdělávání</v>
      </c>
      <c r="H260" s="89" t="str">
        <f>VLOOKUP($C260,'Seznam aktivit'!$B$3:$H$32,6)</f>
        <v>Vzdělávání pro udržitelný rozvoj – např. EVVO, klimatické vzdělávání, principy místně zakotveného učení</v>
      </c>
      <c r="I260" s="90" t="str">
        <f>VLOOKUP($C260,'Seznam aktivit'!$B$3:$H$32,7)</f>
        <v>M. Hanuš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0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1</v>
      </c>
      <c r="R260" s="32">
        <f t="shared" si="42"/>
        <v>0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1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16Krywdová Eliška</v>
      </c>
      <c r="C261" s="66">
        <v>16</v>
      </c>
      <c r="D261" s="12" t="s">
        <v>91</v>
      </c>
      <c r="E261" s="87" t="str">
        <f>VLOOKUP($C261,'Seznam aktivit'!$B$3:$H$32,2)</f>
        <v>07.11.2025</v>
      </c>
      <c r="F261" s="88">
        <f>VLOOKUP($C261,'Seznam aktivit'!$B$3:$H$32,4)</f>
        <v>1</v>
      </c>
      <c r="G261" s="89" t="str">
        <f>VLOOKUP($C261,'Seznam aktivit'!$B$3:$H$32,5)</f>
        <v>Propojování neformálního a formálního vzdělávání</v>
      </c>
      <c r="H261" s="89" t="str">
        <f>VLOOKUP($C261,'Seznam aktivit'!$B$3:$H$32,6)</f>
        <v>Vzdělávání pro udržitelný rozvoj – např. EVVO, klimatické vzdělávání, principy místně zakotveného učení</v>
      </c>
      <c r="I261" s="90" t="str">
        <f>VLOOKUP($C261,'Seznam aktivit'!$B$3:$H$32,7)</f>
        <v>M. Hanuš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0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1</v>
      </c>
      <c r="R261" s="32">
        <f t="shared" si="42"/>
        <v>0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1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16Marko Radek</v>
      </c>
      <c r="C262" s="66">
        <v>16</v>
      </c>
      <c r="D262" s="12" t="s">
        <v>92</v>
      </c>
      <c r="E262" s="87" t="str">
        <f>VLOOKUP($C262,'Seznam aktivit'!$B$3:$H$32,2)</f>
        <v>07.11.2025</v>
      </c>
      <c r="F262" s="88">
        <f>VLOOKUP($C262,'Seznam aktivit'!$B$3:$H$32,4)</f>
        <v>1</v>
      </c>
      <c r="G262" s="89" t="str">
        <f>VLOOKUP($C262,'Seznam aktivit'!$B$3:$H$32,5)</f>
        <v>Propojování neformálního a formálního vzdělávání</v>
      </c>
      <c r="H262" s="89" t="str">
        <f>VLOOKUP($C262,'Seznam aktivit'!$B$3:$H$32,6)</f>
        <v>Vzdělávání pro udržitelný rozvoj – např. EVVO, klimatické vzdělávání, principy místně zakotveného učení</v>
      </c>
      <c r="I262" s="90" t="str">
        <f>VLOOKUP($C262,'Seznam aktivit'!$B$3:$H$32,7)</f>
        <v>M. Hanuš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0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1</v>
      </c>
      <c r="R262" s="32">
        <f t="shared" si="42"/>
        <v>0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1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16Ondříšek Václav</v>
      </c>
      <c r="C263" s="66">
        <v>16</v>
      </c>
      <c r="D263" s="12" t="s">
        <v>93</v>
      </c>
      <c r="E263" s="87" t="str">
        <f>VLOOKUP($C263,'Seznam aktivit'!$B$3:$H$32,2)</f>
        <v>07.11.2025</v>
      </c>
      <c r="F263" s="88">
        <f>VLOOKUP($C263,'Seznam aktivit'!$B$3:$H$32,4)</f>
        <v>1</v>
      </c>
      <c r="G263" s="89" t="str">
        <f>VLOOKUP($C263,'Seznam aktivit'!$B$3:$H$32,5)</f>
        <v>Propojování neformálního a formálního vzdělávání</v>
      </c>
      <c r="H263" s="89" t="str">
        <f>VLOOKUP($C263,'Seznam aktivit'!$B$3:$H$32,6)</f>
        <v>Vzdělávání pro udržitelný rozvoj – např. EVVO, klimatické vzdělávání, principy místně zakotveného učení</v>
      </c>
      <c r="I263" s="90" t="str">
        <f>VLOOKUP($C263,'Seznam aktivit'!$B$3:$H$32,7)</f>
        <v>M. Hanuš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0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1</v>
      </c>
      <c r="R263" s="32">
        <f t="shared" si="42"/>
        <v>0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1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16Patrman Ondřej</v>
      </c>
      <c r="C264" s="66">
        <v>16</v>
      </c>
      <c r="D264" s="12" t="s">
        <v>94</v>
      </c>
      <c r="E264" s="87" t="str">
        <f>VLOOKUP($C264,'Seznam aktivit'!$B$3:$H$32,2)</f>
        <v>07.11.2025</v>
      </c>
      <c r="F264" s="88">
        <f>VLOOKUP($C264,'Seznam aktivit'!$B$3:$H$32,4)</f>
        <v>1</v>
      </c>
      <c r="G264" s="89" t="str">
        <f>VLOOKUP($C264,'Seznam aktivit'!$B$3:$H$32,5)</f>
        <v>Propojování neformálního a formálního vzdělávání</v>
      </c>
      <c r="H264" s="89" t="str">
        <f>VLOOKUP($C264,'Seznam aktivit'!$B$3:$H$32,6)</f>
        <v>Vzdělávání pro udržitelný rozvoj – např. EVVO, klimatické vzdělávání, principy místně zakotveného učení</v>
      </c>
      <c r="I264" s="90" t="str">
        <f>VLOOKUP($C264,'Seznam aktivit'!$B$3:$H$32,7)</f>
        <v>M. Hanuš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0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1</v>
      </c>
      <c r="R264" s="32">
        <f t="shared" si="42"/>
        <v>0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1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16Polák Filip</v>
      </c>
      <c r="C265" s="66">
        <v>16</v>
      </c>
      <c r="D265" s="12" t="s">
        <v>95</v>
      </c>
      <c r="E265" s="87" t="str">
        <f>VLOOKUP($C265,'Seznam aktivit'!$B$3:$H$32,2)</f>
        <v>07.11.2025</v>
      </c>
      <c r="F265" s="88">
        <f>VLOOKUP($C265,'Seznam aktivit'!$B$3:$H$32,4)</f>
        <v>1</v>
      </c>
      <c r="G265" s="89" t="str">
        <f>VLOOKUP($C265,'Seznam aktivit'!$B$3:$H$32,5)</f>
        <v>Propojování neformálního a formálního vzdělávání</v>
      </c>
      <c r="H265" s="89" t="str">
        <f>VLOOKUP($C265,'Seznam aktivit'!$B$3:$H$32,6)</f>
        <v>Vzdělávání pro udržitelný rozvoj – např. EVVO, klimatické vzdělávání, principy místně zakotveného učení</v>
      </c>
      <c r="I265" s="90" t="str">
        <f>VLOOKUP($C265,'Seznam aktivit'!$B$3:$H$32,7)</f>
        <v>M. Hanuš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0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1</v>
      </c>
      <c r="R265" s="32">
        <f t="shared" si="42"/>
        <v>0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1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16Přecechtěl František</v>
      </c>
      <c r="C266" s="66">
        <v>16</v>
      </c>
      <c r="D266" s="12" t="s">
        <v>97</v>
      </c>
      <c r="E266" s="87" t="str">
        <f>VLOOKUP($C266,'Seznam aktivit'!$B$3:$H$32,2)</f>
        <v>07.11.2025</v>
      </c>
      <c r="F266" s="88">
        <f>VLOOKUP($C266,'Seznam aktivit'!$B$3:$H$32,4)</f>
        <v>1</v>
      </c>
      <c r="G266" s="89" t="str">
        <f>VLOOKUP($C266,'Seznam aktivit'!$B$3:$H$32,5)</f>
        <v>Propojování neformálního a formálního vzdělávání</v>
      </c>
      <c r="H266" s="89" t="str">
        <f>VLOOKUP($C266,'Seznam aktivit'!$B$3:$H$32,6)</f>
        <v>Vzdělávání pro udržitelný rozvoj – např. EVVO, klimatické vzdělávání, principy místně zakotveného učení</v>
      </c>
      <c r="I266" s="90" t="str">
        <f>VLOOKUP($C266,'Seznam aktivit'!$B$3:$H$32,7)</f>
        <v>M. Hanuš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0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1</v>
      </c>
      <c r="R266" s="32">
        <f t="shared" si="42"/>
        <v>0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1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16Semančíková Anežka</v>
      </c>
      <c r="C267" s="66">
        <v>16</v>
      </c>
      <c r="D267" s="12" t="s">
        <v>98</v>
      </c>
      <c r="E267" s="87" t="str">
        <f>VLOOKUP($C267,'Seznam aktivit'!$B$3:$H$32,2)</f>
        <v>07.11.2025</v>
      </c>
      <c r="F267" s="88">
        <f>VLOOKUP($C267,'Seznam aktivit'!$B$3:$H$32,4)</f>
        <v>1</v>
      </c>
      <c r="G267" s="89" t="str">
        <f>VLOOKUP($C267,'Seznam aktivit'!$B$3:$H$32,5)</f>
        <v>Propojování neformálního a formálního vzdělávání</v>
      </c>
      <c r="H267" s="89" t="str">
        <f>VLOOKUP($C267,'Seznam aktivit'!$B$3:$H$32,6)</f>
        <v>Vzdělávání pro udržitelný rozvoj – např. EVVO, klimatické vzdělávání, principy místně zakotveného učení</v>
      </c>
      <c r="I267" s="90" t="str">
        <f>VLOOKUP($C267,'Seznam aktivit'!$B$3:$H$32,7)</f>
        <v>M. Hanuš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0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1</v>
      </c>
      <c r="R267" s="32">
        <f t="shared" si="42"/>
        <v>0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1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16Trávníčková Anastázie</v>
      </c>
      <c r="C268" s="66">
        <v>16</v>
      </c>
      <c r="D268" s="12" t="s">
        <v>100</v>
      </c>
      <c r="E268" s="87" t="str">
        <f>VLOOKUP($C268,'Seznam aktivit'!$B$3:$H$32,2)</f>
        <v>07.11.2025</v>
      </c>
      <c r="F268" s="88">
        <f>VLOOKUP($C268,'Seznam aktivit'!$B$3:$H$32,4)</f>
        <v>1</v>
      </c>
      <c r="G268" s="89" t="str">
        <f>VLOOKUP($C268,'Seznam aktivit'!$B$3:$H$32,5)</f>
        <v>Propojování neformálního a formálního vzdělávání</v>
      </c>
      <c r="H268" s="89" t="str">
        <f>VLOOKUP($C268,'Seznam aktivit'!$B$3:$H$32,6)</f>
        <v>Vzdělávání pro udržitelný rozvoj – např. EVVO, klimatické vzdělávání, principy místně zakotveného učení</v>
      </c>
      <c r="I268" s="90" t="str">
        <f>VLOOKUP($C268,'Seznam aktivit'!$B$3:$H$32,7)</f>
        <v>M. Hanuš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0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1</v>
      </c>
      <c r="R268" s="32">
        <f t="shared" si="42"/>
        <v>0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1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16Vala Tomáš</v>
      </c>
      <c r="C269" s="66">
        <v>16</v>
      </c>
      <c r="D269" s="12" t="s">
        <v>101</v>
      </c>
      <c r="E269" s="87" t="str">
        <f>VLOOKUP($C269,'Seznam aktivit'!$B$3:$H$32,2)</f>
        <v>07.11.2025</v>
      </c>
      <c r="F269" s="88">
        <f>VLOOKUP($C269,'Seznam aktivit'!$B$3:$H$32,4)</f>
        <v>1</v>
      </c>
      <c r="G269" s="89" t="str">
        <f>VLOOKUP($C269,'Seznam aktivit'!$B$3:$H$32,5)</f>
        <v>Propojování neformálního a formálního vzdělávání</v>
      </c>
      <c r="H269" s="89" t="str">
        <f>VLOOKUP($C269,'Seznam aktivit'!$B$3:$H$32,6)</f>
        <v>Vzdělávání pro udržitelný rozvoj – např. EVVO, klimatické vzdělávání, principy místně zakotveného učení</v>
      </c>
      <c r="I269" s="90" t="str">
        <f>VLOOKUP($C269,'Seznam aktivit'!$B$3:$H$32,7)</f>
        <v>M. Hanuš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0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1</v>
      </c>
      <c r="R269" s="32">
        <f t="shared" si="42"/>
        <v>0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1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17Antala Štěpán</v>
      </c>
      <c r="C270" s="66">
        <v>17</v>
      </c>
      <c r="D270" s="12" t="s">
        <v>82</v>
      </c>
      <c r="E270" s="87" t="str">
        <f>VLOOKUP($C270,'Seznam aktivit'!$B$3:$H$32,2)</f>
        <v>12.11.2025</v>
      </c>
      <c r="F270" s="88">
        <f>VLOOKUP($C270,'Seznam aktivit'!$B$3:$H$32,4)</f>
        <v>1</v>
      </c>
      <c r="G270" s="89" t="str">
        <f>VLOOKUP($C270,'Seznam aktivit'!$B$3:$H$32,5)</f>
        <v>Propojování neformálního a formálního vzdělávání</v>
      </c>
      <c r="H270" s="89" t="str">
        <f>VLOOKUP($C270,'Seznam aktivit'!$B$3:$H$32,6)</f>
        <v>Vzdělávání pro udržitelný rozvoj – např. EVVO, klimatické vzdělávání, principy místně zakotveného učení</v>
      </c>
      <c r="I270" s="90" t="str">
        <f>VLOOKUP($C270,'Seznam aktivit'!$B$3:$H$32,7)</f>
        <v>M. Hanuš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0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1</v>
      </c>
      <c r="R270" s="32">
        <f t="shared" si="42"/>
        <v>0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1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17Benč Patrik</v>
      </c>
      <c r="C271" s="66">
        <v>17</v>
      </c>
      <c r="D271" s="12" t="s">
        <v>83</v>
      </c>
      <c r="E271" s="87" t="str">
        <f>VLOOKUP($C271,'Seznam aktivit'!$B$3:$H$32,2)</f>
        <v>12.11.2025</v>
      </c>
      <c r="F271" s="88">
        <f>VLOOKUP($C271,'Seznam aktivit'!$B$3:$H$32,4)</f>
        <v>1</v>
      </c>
      <c r="G271" s="89" t="str">
        <f>VLOOKUP($C271,'Seznam aktivit'!$B$3:$H$32,5)</f>
        <v>Propojování neformálního a formálního vzdělávání</v>
      </c>
      <c r="H271" s="89" t="str">
        <f>VLOOKUP($C271,'Seznam aktivit'!$B$3:$H$32,6)</f>
        <v>Vzdělávání pro udržitelný rozvoj – např. EVVO, klimatické vzdělávání, principy místně zakotveného učení</v>
      </c>
      <c r="I271" s="90" t="str">
        <f>VLOOKUP($C271,'Seznam aktivit'!$B$3:$H$32,7)</f>
        <v>M. Hanuš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0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1</v>
      </c>
      <c r="R271" s="32">
        <f t="shared" si="42"/>
        <v>0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1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17Boruvka Matyáš</v>
      </c>
      <c r="C272" s="66">
        <v>17</v>
      </c>
      <c r="D272" s="12" t="s">
        <v>84</v>
      </c>
      <c r="E272" s="87" t="str">
        <f>VLOOKUP($C272,'Seznam aktivit'!$B$3:$H$32,2)</f>
        <v>12.11.2025</v>
      </c>
      <c r="F272" s="88">
        <f>VLOOKUP($C272,'Seznam aktivit'!$B$3:$H$32,4)</f>
        <v>1</v>
      </c>
      <c r="G272" s="89" t="str">
        <f>VLOOKUP($C272,'Seznam aktivit'!$B$3:$H$32,5)</f>
        <v>Propojování neformálního a formálního vzdělávání</v>
      </c>
      <c r="H272" s="89" t="str">
        <f>VLOOKUP($C272,'Seznam aktivit'!$B$3:$H$32,6)</f>
        <v>Vzdělávání pro udržitelný rozvoj – např. EVVO, klimatické vzdělávání, principy místně zakotveného učení</v>
      </c>
      <c r="I272" s="90" t="str">
        <f>VLOOKUP($C272,'Seznam aktivit'!$B$3:$H$32,7)</f>
        <v>M. Hanuš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0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1</v>
      </c>
      <c r="R272" s="32">
        <f t="shared" si="42"/>
        <v>0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1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17Brenkusová Vanesa</v>
      </c>
      <c r="C273" s="66">
        <v>17</v>
      </c>
      <c r="D273" s="12" t="s">
        <v>85</v>
      </c>
      <c r="E273" s="87" t="str">
        <f>VLOOKUP($C273,'Seznam aktivit'!$B$3:$H$32,2)</f>
        <v>12.11.2025</v>
      </c>
      <c r="F273" s="88">
        <f>VLOOKUP($C273,'Seznam aktivit'!$B$3:$H$32,4)</f>
        <v>1</v>
      </c>
      <c r="G273" s="89" t="str">
        <f>VLOOKUP($C273,'Seznam aktivit'!$B$3:$H$32,5)</f>
        <v>Propojování neformálního a formálního vzdělávání</v>
      </c>
      <c r="H273" s="89" t="str">
        <f>VLOOKUP($C273,'Seznam aktivit'!$B$3:$H$32,6)</f>
        <v>Vzdělávání pro udržitelný rozvoj – např. EVVO, klimatické vzdělávání, principy místně zakotveného učení</v>
      </c>
      <c r="I273" s="90" t="str">
        <f>VLOOKUP($C273,'Seznam aktivit'!$B$3:$H$32,7)</f>
        <v>M. Hanuš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0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1</v>
      </c>
      <c r="R273" s="32">
        <f t="shared" si="42"/>
        <v>0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1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17Brixelová Elen</v>
      </c>
      <c r="C274" s="66">
        <v>17</v>
      </c>
      <c r="D274" s="12" t="s">
        <v>86</v>
      </c>
      <c r="E274" s="87" t="str">
        <f>VLOOKUP($C274,'Seznam aktivit'!$B$3:$H$32,2)</f>
        <v>12.11.2025</v>
      </c>
      <c r="F274" s="88">
        <f>VLOOKUP($C274,'Seznam aktivit'!$B$3:$H$32,4)</f>
        <v>1</v>
      </c>
      <c r="G274" s="89" t="str">
        <f>VLOOKUP($C274,'Seznam aktivit'!$B$3:$H$32,5)</f>
        <v>Propojování neformálního a formálního vzdělávání</v>
      </c>
      <c r="H274" s="89" t="str">
        <f>VLOOKUP($C274,'Seznam aktivit'!$B$3:$H$32,6)</f>
        <v>Vzdělávání pro udržitelný rozvoj – např. EVVO, klimatické vzdělávání, principy místně zakotveného učení</v>
      </c>
      <c r="I274" s="90" t="str">
        <f>VLOOKUP($C274,'Seznam aktivit'!$B$3:$H$32,7)</f>
        <v>M. Hanuš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0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1</v>
      </c>
      <c r="R274" s="32">
        <f t="shared" si="42"/>
        <v>0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1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17Hájková Valérie</v>
      </c>
      <c r="C275" s="66">
        <v>17</v>
      </c>
      <c r="D275" s="12" t="s">
        <v>87</v>
      </c>
      <c r="E275" s="87" t="str">
        <f>VLOOKUP($C275,'Seznam aktivit'!$B$3:$H$32,2)</f>
        <v>12.11.2025</v>
      </c>
      <c r="F275" s="88">
        <f>VLOOKUP($C275,'Seznam aktivit'!$B$3:$H$32,4)</f>
        <v>1</v>
      </c>
      <c r="G275" s="89" t="str">
        <f>VLOOKUP($C275,'Seznam aktivit'!$B$3:$H$32,5)</f>
        <v>Propojování neformálního a formálního vzdělávání</v>
      </c>
      <c r="H275" s="89" t="str">
        <f>VLOOKUP($C275,'Seznam aktivit'!$B$3:$H$32,6)</f>
        <v>Vzdělávání pro udržitelný rozvoj – např. EVVO, klimatické vzdělávání, principy místně zakotveného učení</v>
      </c>
      <c r="I275" s="90" t="str">
        <f>VLOOKUP($C275,'Seznam aktivit'!$B$3:$H$32,7)</f>
        <v>M. Hanuš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0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1</v>
      </c>
      <c r="R275" s="32">
        <f t="shared" si="42"/>
        <v>0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1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17Chudý Dominik</v>
      </c>
      <c r="C276" s="66">
        <v>17</v>
      </c>
      <c r="D276" s="12" t="s">
        <v>88</v>
      </c>
      <c r="E276" s="87" t="str">
        <f>VLOOKUP($C276,'Seznam aktivit'!$B$3:$H$32,2)</f>
        <v>12.11.2025</v>
      </c>
      <c r="F276" s="88">
        <f>VLOOKUP($C276,'Seznam aktivit'!$B$3:$H$32,4)</f>
        <v>1</v>
      </c>
      <c r="G276" s="89" t="str">
        <f>VLOOKUP($C276,'Seznam aktivit'!$B$3:$H$32,5)</f>
        <v>Propojování neformálního a formálního vzdělávání</v>
      </c>
      <c r="H276" s="89" t="str">
        <f>VLOOKUP($C276,'Seznam aktivit'!$B$3:$H$32,6)</f>
        <v>Vzdělávání pro udržitelný rozvoj – např. EVVO, klimatické vzdělávání, principy místně zakotveného učení</v>
      </c>
      <c r="I276" s="90" t="str">
        <f>VLOOKUP($C276,'Seznam aktivit'!$B$3:$H$32,7)</f>
        <v>M. Hanuš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0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1</v>
      </c>
      <c r="R276" s="32">
        <f t="shared" si="42"/>
        <v>0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1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17Ježková Vendula</v>
      </c>
      <c r="C277" s="66">
        <v>17</v>
      </c>
      <c r="D277" s="12" t="s">
        <v>89</v>
      </c>
      <c r="E277" s="87" t="str">
        <f>VLOOKUP($C277,'Seznam aktivit'!$B$3:$H$32,2)</f>
        <v>12.11.2025</v>
      </c>
      <c r="F277" s="88">
        <f>VLOOKUP($C277,'Seznam aktivit'!$B$3:$H$32,4)</f>
        <v>1</v>
      </c>
      <c r="G277" s="89" t="str">
        <f>VLOOKUP($C277,'Seznam aktivit'!$B$3:$H$32,5)</f>
        <v>Propojování neformálního a formálního vzdělávání</v>
      </c>
      <c r="H277" s="89" t="str">
        <f>VLOOKUP($C277,'Seznam aktivit'!$B$3:$H$32,6)</f>
        <v>Vzdělávání pro udržitelný rozvoj – např. EVVO, klimatické vzdělávání, principy místně zakotveného učení</v>
      </c>
      <c r="I277" s="90" t="str">
        <f>VLOOKUP($C277,'Seznam aktivit'!$B$3:$H$32,7)</f>
        <v>M. Hanuš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0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1</v>
      </c>
      <c r="R277" s="32">
        <f t="shared" si="42"/>
        <v>0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1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17Krywdová Eliška</v>
      </c>
      <c r="C278" s="66">
        <v>17</v>
      </c>
      <c r="D278" s="12" t="s">
        <v>91</v>
      </c>
      <c r="E278" s="87" t="str">
        <f>VLOOKUP($C278,'Seznam aktivit'!$B$3:$H$32,2)</f>
        <v>12.11.2025</v>
      </c>
      <c r="F278" s="88">
        <f>VLOOKUP($C278,'Seznam aktivit'!$B$3:$H$32,4)</f>
        <v>1</v>
      </c>
      <c r="G278" s="89" t="str">
        <f>VLOOKUP($C278,'Seznam aktivit'!$B$3:$H$32,5)</f>
        <v>Propojování neformálního a formálního vzdělávání</v>
      </c>
      <c r="H278" s="89" t="str">
        <f>VLOOKUP($C278,'Seznam aktivit'!$B$3:$H$32,6)</f>
        <v>Vzdělávání pro udržitelný rozvoj – např. EVVO, klimatické vzdělávání, principy místně zakotveného učení</v>
      </c>
      <c r="I278" s="90" t="str">
        <f>VLOOKUP($C278,'Seznam aktivit'!$B$3:$H$32,7)</f>
        <v>M. Hanuš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0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1</v>
      </c>
      <c r="R278" s="32">
        <f t="shared" si="42"/>
        <v>0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1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17Marko Radek</v>
      </c>
      <c r="C279" s="66">
        <v>17</v>
      </c>
      <c r="D279" s="12" t="s">
        <v>92</v>
      </c>
      <c r="E279" s="87" t="str">
        <f>VLOOKUP($C279,'Seznam aktivit'!$B$3:$H$32,2)</f>
        <v>12.11.2025</v>
      </c>
      <c r="F279" s="88">
        <f>VLOOKUP($C279,'Seznam aktivit'!$B$3:$H$32,4)</f>
        <v>1</v>
      </c>
      <c r="G279" s="89" t="str">
        <f>VLOOKUP($C279,'Seznam aktivit'!$B$3:$H$32,5)</f>
        <v>Propojování neformálního a formálního vzdělávání</v>
      </c>
      <c r="H279" s="89" t="str">
        <f>VLOOKUP($C279,'Seznam aktivit'!$B$3:$H$32,6)</f>
        <v>Vzdělávání pro udržitelný rozvoj – např. EVVO, klimatické vzdělávání, principy místně zakotveného učení</v>
      </c>
      <c r="I279" s="90" t="str">
        <f>VLOOKUP($C279,'Seznam aktivit'!$B$3:$H$32,7)</f>
        <v>M. Hanuš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0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1</v>
      </c>
      <c r="R279" s="32">
        <f t="shared" si="42"/>
        <v>0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1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17Ondříšek Václav</v>
      </c>
      <c r="C280" s="66">
        <v>17</v>
      </c>
      <c r="D280" s="12" t="s">
        <v>93</v>
      </c>
      <c r="E280" s="87" t="str">
        <f>VLOOKUP($C280,'Seznam aktivit'!$B$3:$H$32,2)</f>
        <v>12.11.2025</v>
      </c>
      <c r="F280" s="88">
        <f>VLOOKUP($C280,'Seznam aktivit'!$B$3:$H$32,4)</f>
        <v>1</v>
      </c>
      <c r="G280" s="89" t="str">
        <f>VLOOKUP($C280,'Seznam aktivit'!$B$3:$H$32,5)</f>
        <v>Propojování neformálního a formálního vzdělávání</v>
      </c>
      <c r="H280" s="89" t="str">
        <f>VLOOKUP($C280,'Seznam aktivit'!$B$3:$H$32,6)</f>
        <v>Vzdělávání pro udržitelný rozvoj – např. EVVO, klimatické vzdělávání, principy místně zakotveného učení</v>
      </c>
      <c r="I280" s="90" t="str">
        <f>VLOOKUP($C280,'Seznam aktivit'!$B$3:$H$32,7)</f>
        <v>M. Hanuš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0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1</v>
      </c>
      <c r="R280" s="32">
        <f t="shared" si="42"/>
        <v>0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1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17Patrman Ondřej</v>
      </c>
      <c r="C281" s="66">
        <v>17</v>
      </c>
      <c r="D281" s="12" t="s">
        <v>94</v>
      </c>
      <c r="E281" s="87" t="str">
        <f>VLOOKUP($C281,'Seznam aktivit'!$B$3:$H$32,2)</f>
        <v>12.11.2025</v>
      </c>
      <c r="F281" s="88">
        <f>VLOOKUP($C281,'Seznam aktivit'!$B$3:$H$32,4)</f>
        <v>1</v>
      </c>
      <c r="G281" s="89" t="str">
        <f>VLOOKUP($C281,'Seznam aktivit'!$B$3:$H$32,5)</f>
        <v>Propojování neformálního a formálního vzdělávání</v>
      </c>
      <c r="H281" s="89" t="str">
        <f>VLOOKUP($C281,'Seznam aktivit'!$B$3:$H$32,6)</f>
        <v>Vzdělávání pro udržitelný rozvoj – např. EVVO, klimatické vzdělávání, principy místně zakotveného učení</v>
      </c>
      <c r="I281" s="90" t="str">
        <f>VLOOKUP($C281,'Seznam aktivit'!$B$3:$H$32,7)</f>
        <v>M. Hanuš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0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1</v>
      </c>
      <c r="R281" s="32">
        <f t="shared" si="42"/>
        <v>0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1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17Polák Filip</v>
      </c>
      <c r="C282" s="66">
        <v>17</v>
      </c>
      <c r="D282" s="12" t="s">
        <v>95</v>
      </c>
      <c r="E282" s="87" t="str">
        <f>VLOOKUP($C282,'Seznam aktivit'!$B$3:$H$32,2)</f>
        <v>12.11.2025</v>
      </c>
      <c r="F282" s="88">
        <f>VLOOKUP($C282,'Seznam aktivit'!$B$3:$H$32,4)</f>
        <v>1</v>
      </c>
      <c r="G282" s="89" t="str">
        <f>VLOOKUP($C282,'Seznam aktivit'!$B$3:$H$32,5)</f>
        <v>Propojování neformálního a formálního vzdělávání</v>
      </c>
      <c r="H282" s="89" t="str">
        <f>VLOOKUP($C282,'Seznam aktivit'!$B$3:$H$32,6)</f>
        <v>Vzdělávání pro udržitelný rozvoj – např. EVVO, klimatické vzdělávání, principy místně zakotveného učení</v>
      </c>
      <c r="I282" s="90" t="str">
        <f>VLOOKUP($C282,'Seznam aktivit'!$B$3:$H$32,7)</f>
        <v>M. Hanuš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0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1</v>
      </c>
      <c r="R282" s="32">
        <f t="shared" si="42"/>
        <v>0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1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17Poliaková Julie</v>
      </c>
      <c r="C283" s="66">
        <v>17</v>
      </c>
      <c r="D283" s="12" t="s">
        <v>96</v>
      </c>
      <c r="E283" s="87" t="str">
        <f>VLOOKUP($C283,'Seznam aktivit'!$B$3:$H$32,2)</f>
        <v>12.11.2025</v>
      </c>
      <c r="F283" s="88">
        <f>VLOOKUP($C283,'Seznam aktivit'!$B$3:$H$32,4)</f>
        <v>1</v>
      </c>
      <c r="G283" s="89" t="str">
        <f>VLOOKUP($C283,'Seznam aktivit'!$B$3:$H$32,5)</f>
        <v>Propojování neformálního a formálního vzdělávání</v>
      </c>
      <c r="H283" s="89" t="str">
        <f>VLOOKUP($C283,'Seznam aktivit'!$B$3:$H$32,6)</f>
        <v>Vzdělávání pro udržitelný rozvoj – např. EVVO, klimatické vzdělávání, principy místně zakotveného učení</v>
      </c>
      <c r="I283" s="90" t="str">
        <f>VLOOKUP($C283,'Seznam aktivit'!$B$3:$H$32,7)</f>
        <v>M. Hanuš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0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1</v>
      </c>
      <c r="R283" s="32">
        <f t="shared" si="42"/>
        <v>0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1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17Přecechtěl František</v>
      </c>
      <c r="C284" s="66">
        <v>17</v>
      </c>
      <c r="D284" s="12" t="s">
        <v>97</v>
      </c>
      <c r="E284" s="87" t="str">
        <f>VLOOKUP($C284,'Seznam aktivit'!$B$3:$H$32,2)</f>
        <v>12.11.2025</v>
      </c>
      <c r="F284" s="88">
        <f>VLOOKUP($C284,'Seznam aktivit'!$B$3:$H$32,4)</f>
        <v>1</v>
      </c>
      <c r="G284" s="89" t="str">
        <f>VLOOKUP($C284,'Seznam aktivit'!$B$3:$H$32,5)</f>
        <v>Propojování neformálního a formálního vzdělávání</v>
      </c>
      <c r="H284" s="89" t="str">
        <f>VLOOKUP($C284,'Seznam aktivit'!$B$3:$H$32,6)</f>
        <v>Vzdělávání pro udržitelný rozvoj – např. EVVO, klimatické vzdělávání, principy místně zakotveného učení</v>
      </c>
      <c r="I284" s="90" t="str">
        <f>VLOOKUP($C284,'Seznam aktivit'!$B$3:$H$32,7)</f>
        <v>M. Hanuš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0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1</v>
      </c>
      <c r="R284" s="32">
        <f t="shared" si="42"/>
        <v>0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1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17Semančíková Anežka</v>
      </c>
      <c r="C285" s="66">
        <v>17</v>
      </c>
      <c r="D285" s="12" t="s">
        <v>98</v>
      </c>
      <c r="E285" s="87" t="str">
        <f>VLOOKUP($C285,'Seznam aktivit'!$B$3:$H$32,2)</f>
        <v>12.11.2025</v>
      </c>
      <c r="F285" s="88">
        <f>VLOOKUP($C285,'Seznam aktivit'!$B$3:$H$32,4)</f>
        <v>1</v>
      </c>
      <c r="G285" s="89" t="str">
        <f>VLOOKUP($C285,'Seznam aktivit'!$B$3:$H$32,5)</f>
        <v>Propojování neformálního a formálního vzdělávání</v>
      </c>
      <c r="H285" s="89" t="str">
        <f>VLOOKUP($C285,'Seznam aktivit'!$B$3:$H$32,6)</f>
        <v>Vzdělávání pro udržitelný rozvoj – např. EVVO, klimatické vzdělávání, principy místně zakotveného učení</v>
      </c>
      <c r="I285" s="90" t="str">
        <f>VLOOKUP($C285,'Seznam aktivit'!$B$3:$H$32,7)</f>
        <v>M. Hanuš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0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1</v>
      </c>
      <c r="R285" s="32">
        <f t="shared" si="42"/>
        <v>0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1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17Soška Filip</v>
      </c>
      <c r="C286" s="66">
        <v>17</v>
      </c>
      <c r="D286" s="12" t="s">
        <v>99</v>
      </c>
      <c r="E286" s="87" t="str">
        <f>VLOOKUP($C286,'Seznam aktivit'!$B$3:$H$32,2)</f>
        <v>12.11.2025</v>
      </c>
      <c r="F286" s="88">
        <f>VLOOKUP($C286,'Seznam aktivit'!$B$3:$H$32,4)</f>
        <v>1</v>
      </c>
      <c r="G286" s="89" t="str">
        <f>VLOOKUP($C286,'Seznam aktivit'!$B$3:$H$32,5)</f>
        <v>Propojování neformálního a formálního vzdělávání</v>
      </c>
      <c r="H286" s="89" t="str">
        <f>VLOOKUP($C286,'Seznam aktivit'!$B$3:$H$32,6)</f>
        <v>Vzdělávání pro udržitelný rozvoj – např. EVVO, klimatické vzdělávání, principy místně zakotveného učení</v>
      </c>
      <c r="I286" s="90" t="str">
        <f>VLOOKUP($C286,'Seznam aktivit'!$B$3:$H$32,7)</f>
        <v>M. Hanuš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0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1</v>
      </c>
      <c r="R286" s="32">
        <f t="shared" si="42"/>
        <v>0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1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17Trávníčková Anastázie</v>
      </c>
      <c r="C287" s="66">
        <v>17</v>
      </c>
      <c r="D287" s="12" t="s">
        <v>100</v>
      </c>
      <c r="E287" s="87" t="str">
        <f>VLOOKUP($C287,'Seznam aktivit'!$B$3:$H$32,2)</f>
        <v>12.11.2025</v>
      </c>
      <c r="F287" s="88">
        <f>VLOOKUP($C287,'Seznam aktivit'!$B$3:$H$32,4)</f>
        <v>1</v>
      </c>
      <c r="G287" s="89" t="str">
        <f>VLOOKUP($C287,'Seznam aktivit'!$B$3:$H$32,5)</f>
        <v>Propojování neformálního a formálního vzdělávání</v>
      </c>
      <c r="H287" s="89" t="str">
        <f>VLOOKUP($C287,'Seznam aktivit'!$B$3:$H$32,6)</f>
        <v>Vzdělávání pro udržitelný rozvoj – např. EVVO, klimatické vzdělávání, principy místně zakotveného učení</v>
      </c>
      <c r="I287" s="90" t="str">
        <f>VLOOKUP($C287,'Seznam aktivit'!$B$3:$H$32,7)</f>
        <v>M. Hanuš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0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1</v>
      </c>
      <c r="R287" s="32">
        <f t="shared" si="42"/>
        <v>0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1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18Antala Štěpán</v>
      </c>
      <c r="C288" s="66">
        <v>18</v>
      </c>
      <c r="D288" s="12" t="s">
        <v>82</v>
      </c>
      <c r="E288" s="87" t="str">
        <f>VLOOKUP($C288,'Seznam aktivit'!$B$3:$H$32,2)</f>
        <v>14.11.2025</v>
      </c>
      <c r="F288" s="88">
        <f>VLOOKUP($C288,'Seznam aktivit'!$B$3:$H$32,4)</f>
        <v>1</v>
      </c>
      <c r="G288" s="89" t="str">
        <f>VLOOKUP($C288,'Seznam aktivit'!$B$3:$H$32,5)</f>
        <v>Vzdělávání s využitím nových technologií</v>
      </c>
      <c r="H288" s="89" t="str">
        <f>VLOOKUP($C288,'Seznam aktivit'!$B$3:$H$32,6)</f>
        <v>Vzdělávání s využitím nových technologií</v>
      </c>
      <c r="I288" s="90" t="str">
        <f>VLOOKUP($C288,'Seznam aktivit'!$B$3:$H$32,7)</f>
        <v>M. Hanuš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0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0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1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18Benč Patrik</v>
      </c>
      <c r="C289" s="66">
        <v>18</v>
      </c>
      <c r="D289" s="12" t="s">
        <v>83</v>
      </c>
      <c r="E289" s="87" t="str">
        <f>VLOOKUP($C289,'Seznam aktivit'!$B$3:$H$32,2)</f>
        <v>14.11.2025</v>
      </c>
      <c r="F289" s="88">
        <f>VLOOKUP($C289,'Seznam aktivit'!$B$3:$H$32,4)</f>
        <v>1</v>
      </c>
      <c r="G289" s="89" t="str">
        <f>VLOOKUP($C289,'Seznam aktivit'!$B$3:$H$32,5)</f>
        <v>Vzdělávání s využitím nových technologií</v>
      </c>
      <c r="H289" s="89" t="str">
        <f>VLOOKUP($C289,'Seznam aktivit'!$B$3:$H$32,6)</f>
        <v>Vzdělávání s využitím nových technologií</v>
      </c>
      <c r="I289" s="90" t="str">
        <f>VLOOKUP($C289,'Seznam aktivit'!$B$3:$H$32,7)</f>
        <v>M. Hanuš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0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0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1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18Boruvka Matyáš</v>
      </c>
      <c r="C290" s="66">
        <v>18</v>
      </c>
      <c r="D290" s="12" t="s">
        <v>84</v>
      </c>
      <c r="E290" s="87" t="str">
        <f>VLOOKUP($C290,'Seznam aktivit'!$B$3:$H$32,2)</f>
        <v>14.11.2025</v>
      </c>
      <c r="F290" s="88">
        <f>VLOOKUP($C290,'Seznam aktivit'!$B$3:$H$32,4)</f>
        <v>1</v>
      </c>
      <c r="G290" s="89" t="str">
        <f>VLOOKUP($C290,'Seznam aktivit'!$B$3:$H$32,5)</f>
        <v>Vzdělávání s využitím nových technologií</v>
      </c>
      <c r="H290" s="89" t="str">
        <f>VLOOKUP($C290,'Seznam aktivit'!$B$3:$H$32,6)</f>
        <v>Vzdělávání s využitím nových technologií</v>
      </c>
      <c r="I290" s="90" t="str">
        <f>VLOOKUP($C290,'Seznam aktivit'!$B$3:$H$32,7)</f>
        <v>M. Hanuš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0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0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1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18Brenkusová Vanesa</v>
      </c>
      <c r="C291" s="66">
        <v>18</v>
      </c>
      <c r="D291" s="12" t="s">
        <v>85</v>
      </c>
      <c r="E291" s="87" t="str">
        <f>VLOOKUP($C291,'Seznam aktivit'!$B$3:$H$32,2)</f>
        <v>14.11.2025</v>
      </c>
      <c r="F291" s="88">
        <f>VLOOKUP($C291,'Seznam aktivit'!$B$3:$H$32,4)</f>
        <v>1</v>
      </c>
      <c r="G291" s="89" t="str">
        <f>VLOOKUP($C291,'Seznam aktivit'!$B$3:$H$32,5)</f>
        <v>Vzdělávání s využitím nových technologií</v>
      </c>
      <c r="H291" s="89" t="str">
        <f>VLOOKUP($C291,'Seznam aktivit'!$B$3:$H$32,6)</f>
        <v>Vzdělávání s využitím nových technologií</v>
      </c>
      <c r="I291" s="90" t="str">
        <f>VLOOKUP($C291,'Seznam aktivit'!$B$3:$H$32,7)</f>
        <v>M. Hanuš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0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0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1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18Brixelová Elen</v>
      </c>
      <c r="C292" s="66">
        <v>18</v>
      </c>
      <c r="D292" s="12" t="s">
        <v>86</v>
      </c>
      <c r="E292" s="87" t="str">
        <f>VLOOKUP($C292,'Seznam aktivit'!$B$3:$H$32,2)</f>
        <v>14.11.2025</v>
      </c>
      <c r="F292" s="88">
        <f>VLOOKUP($C292,'Seznam aktivit'!$B$3:$H$32,4)</f>
        <v>1</v>
      </c>
      <c r="G292" s="89" t="str">
        <f>VLOOKUP($C292,'Seznam aktivit'!$B$3:$H$32,5)</f>
        <v>Vzdělávání s využitím nových technologií</v>
      </c>
      <c r="H292" s="89" t="str">
        <f>VLOOKUP($C292,'Seznam aktivit'!$B$3:$H$32,6)</f>
        <v>Vzdělávání s využitím nových technologií</v>
      </c>
      <c r="I292" s="90" t="str">
        <f>VLOOKUP($C292,'Seznam aktivit'!$B$3:$H$32,7)</f>
        <v>M. Hanuš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0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0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1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18Hájková Valérie</v>
      </c>
      <c r="C293" s="66">
        <v>18</v>
      </c>
      <c r="D293" s="12" t="s">
        <v>87</v>
      </c>
      <c r="E293" s="87" t="str">
        <f>VLOOKUP($C293,'Seznam aktivit'!$B$3:$H$32,2)</f>
        <v>14.11.2025</v>
      </c>
      <c r="F293" s="88">
        <f>VLOOKUP($C293,'Seznam aktivit'!$B$3:$H$32,4)</f>
        <v>1</v>
      </c>
      <c r="G293" s="89" t="str">
        <f>VLOOKUP($C293,'Seznam aktivit'!$B$3:$H$32,5)</f>
        <v>Vzdělávání s využitím nových technologií</v>
      </c>
      <c r="H293" s="89" t="str">
        <f>VLOOKUP($C293,'Seznam aktivit'!$B$3:$H$32,6)</f>
        <v>Vzdělávání s využitím nových technologií</v>
      </c>
      <c r="I293" s="90" t="str">
        <f>VLOOKUP($C293,'Seznam aktivit'!$B$3:$H$32,7)</f>
        <v>M. Hanuš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0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0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1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18Chudý Dominik</v>
      </c>
      <c r="C294" s="66">
        <v>18</v>
      </c>
      <c r="D294" s="12" t="s">
        <v>88</v>
      </c>
      <c r="E294" s="87" t="str">
        <f>VLOOKUP($C294,'Seznam aktivit'!$B$3:$H$32,2)</f>
        <v>14.11.2025</v>
      </c>
      <c r="F294" s="88">
        <f>VLOOKUP($C294,'Seznam aktivit'!$B$3:$H$32,4)</f>
        <v>1</v>
      </c>
      <c r="G294" s="89" t="str">
        <f>VLOOKUP($C294,'Seznam aktivit'!$B$3:$H$32,5)</f>
        <v>Vzdělávání s využitím nových technologií</v>
      </c>
      <c r="H294" s="89" t="str">
        <f>VLOOKUP($C294,'Seznam aktivit'!$B$3:$H$32,6)</f>
        <v>Vzdělávání s využitím nových technologií</v>
      </c>
      <c r="I294" s="90" t="str">
        <f>VLOOKUP($C294,'Seznam aktivit'!$B$3:$H$32,7)</f>
        <v>M. Hanuš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0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0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1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18Ježková Vendula</v>
      </c>
      <c r="C295" s="66">
        <v>18</v>
      </c>
      <c r="D295" s="12" t="s">
        <v>89</v>
      </c>
      <c r="E295" s="87" t="str">
        <f>VLOOKUP($C295,'Seznam aktivit'!$B$3:$H$32,2)</f>
        <v>14.11.2025</v>
      </c>
      <c r="F295" s="88">
        <f>VLOOKUP($C295,'Seznam aktivit'!$B$3:$H$32,4)</f>
        <v>1</v>
      </c>
      <c r="G295" s="89" t="str">
        <f>VLOOKUP($C295,'Seznam aktivit'!$B$3:$H$32,5)</f>
        <v>Vzdělávání s využitím nových technologií</v>
      </c>
      <c r="H295" s="89" t="str">
        <f>VLOOKUP($C295,'Seznam aktivit'!$B$3:$H$32,6)</f>
        <v>Vzdělávání s využitím nových technologií</v>
      </c>
      <c r="I295" s="90" t="str">
        <f>VLOOKUP($C295,'Seznam aktivit'!$B$3:$H$32,7)</f>
        <v>M. Hanuš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0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0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1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18Juráň Jindřich</v>
      </c>
      <c r="C296" s="66">
        <v>18</v>
      </c>
      <c r="D296" s="12" t="s">
        <v>90</v>
      </c>
      <c r="E296" s="87" t="str">
        <f>VLOOKUP($C296,'Seznam aktivit'!$B$3:$H$32,2)</f>
        <v>14.11.2025</v>
      </c>
      <c r="F296" s="88">
        <f>VLOOKUP($C296,'Seznam aktivit'!$B$3:$H$32,4)</f>
        <v>1</v>
      </c>
      <c r="G296" s="89" t="str">
        <f>VLOOKUP($C296,'Seznam aktivit'!$B$3:$H$32,5)</f>
        <v>Vzdělávání s využitím nových technologií</v>
      </c>
      <c r="H296" s="89" t="str">
        <f>VLOOKUP($C296,'Seznam aktivit'!$B$3:$H$32,6)</f>
        <v>Vzdělávání s využitím nových technologií</v>
      </c>
      <c r="I296" s="90" t="str">
        <f>VLOOKUP($C296,'Seznam aktivit'!$B$3:$H$32,7)</f>
        <v>M. Hanuš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0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0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1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18Krywdová Eliška</v>
      </c>
      <c r="C297" s="66">
        <v>18</v>
      </c>
      <c r="D297" s="12" t="s">
        <v>91</v>
      </c>
      <c r="E297" s="87" t="str">
        <f>VLOOKUP($C297,'Seznam aktivit'!$B$3:$H$32,2)</f>
        <v>14.11.2025</v>
      </c>
      <c r="F297" s="88">
        <f>VLOOKUP($C297,'Seznam aktivit'!$B$3:$H$32,4)</f>
        <v>1</v>
      </c>
      <c r="G297" s="89" t="str">
        <f>VLOOKUP($C297,'Seznam aktivit'!$B$3:$H$32,5)</f>
        <v>Vzdělávání s využitím nových technologií</v>
      </c>
      <c r="H297" s="89" t="str">
        <f>VLOOKUP($C297,'Seznam aktivit'!$B$3:$H$32,6)</f>
        <v>Vzdělávání s využitím nových technologií</v>
      </c>
      <c r="I297" s="90" t="str">
        <f>VLOOKUP($C297,'Seznam aktivit'!$B$3:$H$32,7)</f>
        <v>M. Hanuš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0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0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1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18Marko Radek</v>
      </c>
      <c r="C298" s="66">
        <v>18</v>
      </c>
      <c r="D298" s="12" t="s">
        <v>92</v>
      </c>
      <c r="E298" s="87" t="str">
        <f>VLOOKUP($C298,'Seznam aktivit'!$B$3:$H$32,2)</f>
        <v>14.11.2025</v>
      </c>
      <c r="F298" s="88">
        <f>VLOOKUP($C298,'Seznam aktivit'!$B$3:$H$32,4)</f>
        <v>1</v>
      </c>
      <c r="G298" s="89" t="str">
        <f>VLOOKUP($C298,'Seznam aktivit'!$B$3:$H$32,5)</f>
        <v>Vzdělávání s využitím nových technologií</v>
      </c>
      <c r="H298" s="89" t="str">
        <f>VLOOKUP($C298,'Seznam aktivit'!$B$3:$H$32,6)</f>
        <v>Vzdělávání s využitím nových technologií</v>
      </c>
      <c r="I298" s="90" t="str">
        <f>VLOOKUP($C298,'Seznam aktivit'!$B$3:$H$32,7)</f>
        <v>M. Hanuš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0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0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1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18Ondříšek Václav</v>
      </c>
      <c r="C299" s="66">
        <v>18</v>
      </c>
      <c r="D299" s="12" t="s">
        <v>93</v>
      </c>
      <c r="E299" s="87" t="str">
        <f>VLOOKUP($C299,'Seznam aktivit'!$B$3:$H$32,2)</f>
        <v>14.11.2025</v>
      </c>
      <c r="F299" s="88">
        <f>VLOOKUP($C299,'Seznam aktivit'!$B$3:$H$32,4)</f>
        <v>1</v>
      </c>
      <c r="G299" s="89" t="str">
        <f>VLOOKUP($C299,'Seznam aktivit'!$B$3:$H$32,5)</f>
        <v>Vzdělávání s využitím nových technologií</v>
      </c>
      <c r="H299" s="89" t="str">
        <f>VLOOKUP($C299,'Seznam aktivit'!$B$3:$H$32,6)</f>
        <v>Vzdělávání s využitím nových technologií</v>
      </c>
      <c r="I299" s="90" t="str">
        <f>VLOOKUP($C299,'Seznam aktivit'!$B$3:$H$32,7)</f>
        <v>M. Hanuš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0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0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1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18Patrman Ondřej</v>
      </c>
      <c r="C300" s="66">
        <v>18</v>
      </c>
      <c r="D300" s="12" t="s">
        <v>94</v>
      </c>
      <c r="E300" s="87" t="str">
        <f>VLOOKUP($C300,'Seznam aktivit'!$B$3:$H$32,2)</f>
        <v>14.11.2025</v>
      </c>
      <c r="F300" s="88">
        <f>VLOOKUP($C300,'Seznam aktivit'!$B$3:$H$32,4)</f>
        <v>1</v>
      </c>
      <c r="G300" s="89" t="str">
        <f>VLOOKUP($C300,'Seznam aktivit'!$B$3:$H$32,5)</f>
        <v>Vzdělávání s využitím nových technologií</v>
      </c>
      <c r="H300" s="89" t="str">
        <f>VLOOKUP($C300,'Seznam aktivit'!$B$3:$H$32,6)</f>
        <v>Vzdělávání s využitím nových technologií</v>
      </c>
      <c r="I300" s="90" t="str">
        <f>VLOOKUP($C300,'Seznam aktivit'!$B$3:$H$32,7)</f>
        <v>M. Hanuš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0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0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1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18Polák Filip</v>
      </c>
      <c r="C301" s="66">
        <v>18</v>
      </c>
      <c r="D301" s="12" t="s">
        <v>95</v>
      </c>
      <c r="E301" s="87" t="str">
        <f>VLOOKUP($C301,'Seznam aktivit'!$B$3:$H$32,2)</f>
        <v>14.11.2025</v>
      </c>
      <c r="F301" s="88">
        <f>VLOOKUP($C301,'Seznam aktivit'!$B$3:$H$32,4)</f>
        <v>1</v>
      </c>
      <c r="G301" s="89" t="str">
        <f>VLOOKUP($C301,'Seznam aktivit'!$B$3:$H$32,5)</f>
        <v>Vzdělávání s využitím nových technologií</v>
      </c>
      <c r="H301" s="89" t="str">
        <f>VLOOKUP($C301,'Seznam aktivit'!$B$3:$H$32,6)</f>
        <v>Vzdělávání s využitím nových technologií</v>
      </c>
      <c r="I301" s="90" t="str">
        <f>VLOOKUP($C301,'Seznam aktivit'!$B$3:$H$32,7)</f>
        <v>M. Hanuš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0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0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1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18Poliaková Julie</v>
      </c>
      <c r="C302" s="66">
        <v>18</v>
      </c>
      <c r="D302" s="12" t="s">
        <v>96</v>
      </c>
      <c r="E302" s="87" t="str">
        <f>VLOOKUP($C302,'Seznam aktivit'!$B$3:$H$32,2)</f>
        <v>14.11.2025</v>
      </c>
      <c r="F302" s="88">
        <f>VLOOKUP($C302,'Seznam aktivit'!$B$3:$H$32,4)</f>
        <v>1</v>
      </c>
      <c r="G302" s="89" t="str">
        <f>VLOOKUP($C302,'Seznam aktivit'!$B$3:$H$32,5)</f>
        <v>Vzdělávání s využitím nových technologií</v>
      </c>
      <c r="H302" s="89" t="str">
        <f>VLOOKUP($C302,'Seznam aktivit'!$B$3:$H$32,6)</f>
        <v>Vzdělávání s využitím nových technologií</v>
      </c>
      <c r="I302" s="90" t="str">
        <f>VLOOKUP($C302,'Seznam aktivit'!$B$3:$H$32,7)</f>
        <v>M. Hanuš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0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0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1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18Přecechtěl František</v>
      </c>
      <c r="C303" s="66">
        <v>18</v>
      </c>
      <c r="D303" s="12" t="s">
        <v>97</v>
      </c>
      <c r="E303" s="87" t="str">
        <f>VLOOKUP($C303,'Seznam aktivit'!$B$3:$H$32,2)</f>
        <v>14.11.2025</v>
      </c>
      <c r="F303" s="88">
        <f>VLOOKUP($C303,'Seznam aktivit'!$B$3:$H$32,4)</f>
        <v>1</v>
      </c>
      <c r="G303" s="89" t="str">
        <f>VLOOKUP($C303,'Seznam aktivit'!$B$3:$H$32,5)</f>
        <v>Vzdělávání s využitím nových technologií</v>
      </c>
      <c r="H303" s="89" t="str">
        <f>VLOOKUP($C303,'Seznam aktivit'!$B$3:$H$32,6)</f>
        <v>Vzdělávání s využitím nových technologií</v>
      </c>
      <c r="I303" s="90" t="str">
        <f>VLOOKUP($C303,'Seznam aktivit'!$B$3:$H$32,7)</f>
        <v>M. Hanuš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0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0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1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18Semančíková Anežka</v>
      </c>
      <c r="C304" s="66">
        <v>18</v>
      </c>
      <c r="D304" s="12" t="s">
        <v>98</v>
      </c>
      <c r="E304" s="87" t="str">
        <f>VLOOKUP($C304,'Seznam aktivit'!$B$3:$H$32,2)</f>
        <v>14.11.2025</v>
      </c>
      <c r="F304" s="88">
        <f>VLOOKUP($C304,'Seznam aktivit'!$B$3:$H$32,4)</f>
        <v>1</v>
      </c>
      <c r="G304" s="89" t="str">
        <f>VLOOKUP($C304,'Seznam aktivit'!$B$3:$H$32,5)</f>
        <v>Vzdělávání s využitím nových technologií</v>
      </c>
      <c r="H304" s="89" t="str">
        <f>VLOOKUP($C304,'Seznam aktivit'!$B$3:$H$32,6)</f>
        <v>Vzdělávání s využitím nových technologií</v>
      </c>
      <c r="I304" s="90" t="str">
        <f>VLOOKUP($C304,'Seznam aktivit'!$B$3:$H$32,7)</f>
        <v>M. Hanuš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0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0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1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18Soška Filip</v>
      </c>
      <c r="C305" s="66">
        <v>18</v>
      </c>
      <c r="D305" s="12" t="s">
        <v>99</v>
      </c>
      <c r="E305" s="87" t="str">
        <f>VLOOKUP($C305,'Seznam aktivit'!$B$3:$H$32,2)</f>
        <v>14.11.2025</v>
      </c>
      <c r="F305" s="88">
        <f>VLOOKUP($C305,'Seznam aktivit'!$B$3:$H$32,4)</f>
        <v>1</v>
      </c>
      <c r="G305" s="89" t="str">
        <f>VLOOKUP($C305,'Seznam aktivit'!$B$3:$H$32,5)</f>
        <v>Vzdělávání s využitím nových technologií</v>
      </c>
      <c r="H305" s="89" t="str">
        <f>VLOOKUP($C305,'Seznam aktivit'!$B$3:$H$32,6)</f>
        <v>Vzdělávání s využitím nových technologií</v>
      </c>
      <c r="I305" s="90" t="str">
        <f>VLOOKUP($C305,'Seznam aktivit'!$B$3:$H$32,7)</f>
        <v>M. Hanuš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0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0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1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18Trávníčková Anastázie</v>
      </c>
      <c r="C306" s="66">
        <v>18</v>
      </c>
      <c r="D306" s="12" t="s">
        <v>100</v>
      </c>
      <c r="E306" s="87" t="str">
        <f>VLOOKUP($C306,'Seznam aktivit'!$B$3:$H$32,2)</f>
        <v>14.11.2025</v>
      </c>
      <c r="F306" s="88">
        <f>VLOOKUP($C306,'Seznam aktivit'!$B$3:$H$32,4)</f>
        <v>1</v>
      </c>
      <c r="G306" s="89" t="str">
        <f>VLOOKUP($C306,'Seznam aktivit'!$B$3:$H$32,5)</f>
        <v>Vzdělávání s využitím nových technologií</v>
      </c>
      <c r="H306" s="89" t="str">
        <f>VLOOKUP($C306,'Seznam aktivit'!$B$3:$H$32,6)</f>
        <v>Vzdělávání s využitím nových technologií</v>
      </c>
      <c r="I306" s="90" t="str">
        <f>VLOOKUP($C306,'Seznam aktivit'!$B$3:$H$32,7)</f>
        <v>M. Hanuš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0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0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1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/>
      </c>
      <c r="C307" s="66"/>
      <c r="D307" s="12"/>
      <c r="E307" s="87" t="e">
        <f>VLOOKUP($C307,'Seznam aktivit'!$B$3:$H$32,2)</f>
        <v>#N/A</v>
      </c>
      <c r="F307" s="88" t="e">
        <f>VLOOKUP($C307,'Seznam aktivit'!$B$3:$H$32,4)</f>
        <v>#N/A</v>
      </c>
      <c r="G307" s="89" t="e">
        <f>VLOOKUP($C307,'Seznam aktivit'!$B$3:$H$32,5)</f>
        <v>#N/A</v>
      </c>
      <c r="H307" s="89" t="e">
        <f>VLOOKUP($C307,'Seznam aktivit'!$B$3:$H$32,6)</f>
        <v>#N/A</v>
      </c>
      <c r="I307" s="90" t="e">
        <f>VLOOKUP($C307,'Seznam aktivit'!$B$3:$H$32,7)</f>
        <v>#N/A</v>
      </c>
      <c r="J307" s="42" t="e">
        <f t="shared" si="45"/>
        <v>#N/A</v>
      </c>
      <c r="K307" s="32">
        <f t="shared" si="46"/>
        <v>0</v>
      </c>
      <c r="L307" s="32">
        <f t="shared" si="46"/>
        <v>0</v>
      </c>
      <c r="M307" s="32">
        <f t="shared" si="51"/>
        <v>0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0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/>
      </c>
      <c r="C308" s="66"/>
      <c r="D308" s="12"/>
      <c r="E308" s="87" t="e">
        <f>VLOOKUP($C308,'Seznam aktivit'!$B$3:$H$32,2)</f>
        <v>#N/A</v>
      </c>
      <c r="F308" s="88" t="e">
        <f>VLOOKUP($C308,'Seznam aktivit'!$B$3:$H$32,4)</f>
        <v>#N/A</v>
      </c>
      <c r="G308" s="89" t="e">
        <f>VLOOKUP($C308,'Seznam aktivit'!$B$3:$H$32,5)</f>
        <v>#N/A</v>
      </c>
      <c r="H308" s="89" t="e">
        <f>VLOOKUP($C308,'Seznam aktivit'!$B$3:$H$32,6)</f>
        <v>#N/A</v>
      </c>
      <c r="I308" s="90" t="e">
        <f>VLOOKUP($C308,'Seznam aktivit'!$B$3:$H$32,7)</f>
        <v>#N/A</v>
      </c>
      <c r="J308" s="42" t="e">
        <f t="shared" si="45"/>
        <v>#N/A</v>
      </c>
      <c r="K308" s="32">
        <f t="shared" si="46"/>
        <v>0</v>
      </c>
      <c r="L308" s="32">
        <f t="shared" si="46"/>
        <v>0</v>
      </c>
      <c r="M308" s="32">
        <f t="shared" si="51"/>
        <v>0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0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/>
      </c>
      <c r="C309" s="66"/>
      <c r="D309" s="12"/>
      <c r="E309" s="87" t="e">
        <f>VLOOKUP($C309,'Seznam aktivit'!$B$3:$H$32,2)</f>
        <v>#N/A</v>
      </c>
      <c r="F309" s="88" t="e">
        <f>VLOOKUP($C309,'Seznam aktivit'!$B$3:$H$32,4)</f>
        <v>#N/A</v>
      </c>
      <c r="G309" s="89" t="e">
        <f>VLOOKUP($C309,'Seznam aktivit'!$B$3:$H$32,5)</f>
        <v>#N/A</v>
      </c>
      <c r="H309" s="89" t="e">
        <f>VLOOKUP($C309,'Seznam aktivit'!$B$3:$H$32,6)</f>
        <v>#N/A</v>
      </c>
      <c r="I309" s="90" t="e">
        <f>VLOOKUP($C309,'Seznam aktivit'!$B$3:$H$32,7)</f>
        <v>#N/A</v>
      </c>
      <c r="J309" s="42" t="e">
        <f t="shared" si="45"/>
        <v>#N/A</v>
      </c>
      <c r="K309" s="32">
        <f t="shared" si="46"/>
        <v>0</v>
      </c>
      <c r="L309" s="32">
        <f t="shared" si="46"/>
        <v>0</v>
      </c>
      <c r="M309" s="32">
        <f t="shared" si="51"/>
        <v>0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0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/>
      </c>
      <c r="C310" s="66"/>
      <c r="D310" s="12"/>
      <c r="E310" s="87" t="e">
        <f>VLOOKUP($C310,'Seznam aktivit'!$B$3:$H$32,2)</f>
        <v>#N/A</v>
      </c>
      <c r="F310" s="88" t="e">
        <f>VLOOKUP($C310,'Seznam aktivit'!$B$3:$H$32,4)</f>
        <v>#N/A</v>
      </c>
      <c r="G310" s="89" t="e">
        <f>VLOOKUP($C310,'Seznam aktivit'!$B$3:$H$32,5)</f>
        <v>#N/A</v>
      </c>
      <c r="H310" s="89" t="e">
        <f>VLOOKUP($C310,'Seznam aktivit'!$B$3:$H$32,6)</f>
        <v>#N/A</v>
      </c>
      <c r="I310" s="90" t="e">
        <f>VLOOKUP($C310,'Seznam aktivit'!$B$3:$H$32,7)</f>
        <v>#N/A</v>
      </c>
      <c r="J310" s="42" t="e">
        <f t="shared" si="45"/>
        <v>#N/A</v>
      </c>
      <c r="K310" s="32">
        <f t="shared" si="46"/>
        <v>0</v>
      </c>
      <c r="L310" s="32">
        <f t="shared" si="46"/>
        <v>0</v>
      </c>
      <c r="M310" s="32">
        <f t="shared" si="51"/>
        <v>0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0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/>
      </c>
      <c r="C311" s="66"/>
      <c r="D311" s="12"/>
      <c r="E311" s="87" t="e">
        <f>VLOOKUP($C311,'Seznam aktivit'!$B$3:$H$32,2)</f>
        <v>#N/A</v>
      </c>
      <c r="F311" s="88" t="e">
        <f>VLOOKUP($C311,'Seznam aktivit'!$B$3:$H$32,4)</f>
        <v>#N/A</v>
      </c>
      <c r="G311" s="89" t="e">
        <f>VLOOKUP($C311,'Seznam aktivit'!$B$3:$H$32,5)</f>
        <v>#N/A</v>
      </c>
      <c r="H311" s="89" t="e">
        <f>VLOOKUP($C311,'Seznam aktivit'!$B$3:$H$32,6)</f>
        <v>#N/A</v>
      </c>
      <c r="I311" s="90" t="e">
        <f>VLOOKUP($C311,'Seznam aktivit'!$B$3:$H$32,7)</f>
        <v>#N/A</v>
      </c>
      <c r="J311" s="42" t="e">
        <f t="shared" si="45"/>
        <v>#N/A</v>
      </c>
      <c r="K311" s="32">
        <f t="shared" si="46"/>
        <v>0</v>
      </c>
      <c r="L311" s="32">
        <f t="shared" si="46"/>
        <v>0</v>
      </c>
      <c r="M311" s="32">
        <f t="shared" si="51"/>
        <v>0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0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/>
      </c>
      <c r="C312" s="66"/>
      <c r="D312" s="12"/>
      <c r="E312" s="87" t="e">
        <f>VLOOKUP($C312,'Seznam aktivit'!$B$3:$H$32,2)</f>
        <v>#N/A</v>
      </c>
      <c r="F312" s="88" t="e">
        <f>VLOOKUP($C312,'Seznam aktivit'!$B$3:$H$32,4)</f>
        <v>#N/A</v>
      </c>
      <c r="G312" s="89" t="e">
        <f>VLOOKUP($C312,'Seznam aktivit'!$B$3:$H$32,5)</f>
        <v>#N/A</v>
      </c>
      <c r="H312" s="89" t="e">
        <f>VLOOKUP($C312,'Seznam aktivit'!$B$3:$H$32,6)</f>
        <v>#N/A</v>
      </c>
      <c r="I312" s="90" t="e">
        <f>VLOOKUP($C312,'Seznam aktivit'!$B$3:$H$32,7)</f>
        <v>#N/A</v>
      </c>
      <c r="J312" s="42" t="e">
        <f t="shared" si="45"/>
        <v>#N/A</v>
      </c>
      <c r="K312" s="32">
        <f t="shared" si="46"/>
        <v>0</v>
      </c>
      <c r="L312" s="32">
        <f t="shared" si="46"/>
        <v>0</v>
      </c>
      <c r="M312" s="32">
        <f t="shared" si="51"/>
        <v>0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0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/>
      </c>
      <c r="C313" s="66"/>
      <c r="D313" s="12"/>
      <c r="E313" s="87" t="e">
        <f>VLOOKUP($C313,'Seznam aktivit'!$B$3:$H$32,2)</f>
        <v>#N/A</v>
      </c>
      <c r="F313" s="88" t="e">
        <f>VLOOKUP($C313,'Seznam aktivit'!$B$3:$H$32,4)</f>
        <v>#N/A</v>
      </c>
      <c r="G313" s="89" t="e">
        <f>VLOOKUP($C313,'Seznam aktivit'!$B$3:$H$32,5)</f>
        <v>#N/A</v>
      </c>
      <c r="H313" s="89" t="e">
        <f>VLOOKUP($C313,'Seznam aktivit'!$B$3:$H$32,6)</f>
        <v>#N/A</v>
      </c>
      <c r="I313" s="90" t="e">
        <f>VLOOKUP($C313,'Seznam aktivit'!$B$3:$H$32,7)</f>
        <v>#N/A</v>
      </c>
      <c r="J313" s="42" t="e">
        <f t="shared" si="45"/>
        <v>#N/A</v>
      </c>
      <c r="K313" s="32">
        <f t="shared" si="46"/>
        <v>0</v>
      </c>
      <c r="L313" s="32">
        <f t="shared" si="46"/>
        <v>0</v>
      </c>
      <c r="M313" s="32">
        <f t="shared" si="51"/>
        <v>0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0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/>
      </c>
      <c r="C314" s="66"/>
      <c r="D314" s="12"/>
      <c r="E314" s="87" t="e">
        <f>VLOOKUP($C314,'Seznam aktivit'!$B$3:$H$32,2)</f>
        <v>#N/A</v>
      </c>
      <c r="F314" s="88" t="e">
        <f>VLOOKUP($C314,'Seznam aktivit'!$B$3:$H$32,4)</f>
        <v>#N/A</v>
      </c>
      <c r="G314" s="89" t="e">
        <f>VLOOKUP($C314,'Seznam aktivit'!$B$3:$H$32,5)</f>
        <v>#N/A</v>
      </c>
      <c r="H314" s="89" t="e">
        <f>VLOOKUP($C314,'Seznam aktivit'!$B$3:$H$32,6)</f>
        <v>#N/A</v>
      </c>
      <c r="I314" s="90" t="e">
        <f>VLOOKUP($C314,'Seznam aktivit'!$B$3:$H$32,7)</f>
        <v>#N/A</v>
      </c>
      <c r="J314" s="42" t="e">
        <f t="shared" si="45"/>
        <v>#N/A</v>
      </c>
      <c r="K314" s="32">
        <f t="shared" si="46"/>
        <v>0</v>
      </c>
      <c r="L314" s="32">
        <f t="shared" si="46"/>
        <v>0</v>
      </c>
      <c r="M314" s="32">
        <f t="shared" si="51"/>
        <v>0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0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/>
      </c>
      <c r="C315" s="66"/>
      <c r="D315" s="12"/>
      <c r="E315" s="87" t="e">
        <f>VLOOKUP($C315,'Seznam aktivit'!$B$3:$H$32,2)</f>
        <v>#N/A</v>
      </c>
      <c r="F315" s="88" t="e">
        <f>VLOOKUP($C315,'Seznam aktivit'!$B$3:$H$32,4)</f>
        <v>#N/A</v>
      </c>
      <c r="G315" s="89" t="e">
        <f>VLOOKUP($C315,'Seznam aktivit'!$B$3:$H$32,5)</f>
        <v>#N/A</v>
      </c>
      <c r="H315" s="89" t="e">
        <f>VLOOKUP($C315,'Seznam aktivit'!$B$3:$H$32,6)</f>
        <v>#N/A</v>
      </c>
      <c r="I315" s="90" t="e">
        <f>VLOOKUP($C315,'Seznam aktivit'!$B$3:$H$32,7)</f>
        <v>#N/A</v>
      </c>
      <c r="J315" s="42" t="e">
        <f t="shared" si="45"/>
        <v>#N/A</v>
      </c>
      <c r="K315" s="32">
        <f t="shared" si="46"/>
        <v>0</v>
      </c>
      <c r="L315" s="32">
        <f t="shared" si="46"/>
        <v>0</v>
      </c>
      <c r="M315" s="32">
        <f t="shared" si="51"/>
        <v>0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0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/>
      </c>
      <c r="C316" s="66"/>
      <c r="D316" s="12"/>
      <c r="E316" s="87" t="e">
        <f>VLOOKUP($C316,'Seznam aktivit'!$B$3:$H$32,2)</f>
        <v>#N/A</v>
      </c>
      <c r="F316" s="88" t="e">
        <f>VLOOKUP($C316,'Seznam aktivit'!$B$3:$H$32,4)</f>
        <v>#N/A</v>
      </c>
      <c r="G316" s="89" t="e">
        <f>VLOOKUP($C316,'Seznam aktivit'!$B$3:$H$32,5)</f>
        <v>#N/A</v>
      </c>
      <c r="H316" s="89" t="e">
        <f>VLOOKUP($C316,'Seznam aktivit'!$B$3:$H$32,6)</f>
        <v>#N/A</v>
      </c>
      <c r="I316" s="90" t="e">
        <f>VLOOKUP($C316,'Seznam aktivit'!$B$3:$H$32,7)</f>
        <v>#N/A</v>
      </c>
      <c r="J316" s="42" t="e">
        <f t="shared" si="45"/>
        <v>#N/A</v>
      </c>
      <c r="K316" s="32">
        <f t="shared" si="46"/>
        <v>0</v>
      </c>
      <c r="L316" s="32">
        <f t="shared" si="46"/>
        <v>0</v>
      </c>
      <c r="M316" s="32">
        <f t="shared" si="51"/>
        <v>0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0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/>
      </c>
      <c r="C317" s="66"/>
      <c r="D317" s="12"/>
      <c r="E317" s="87" t="e">
        <f>VLOOKUP($C317,'Seznam aktivit'!$B$3:$H$32,2)</f>
        <v>#N/A</v>
      </c>
      <c r="F317" s="88" t="e">
        <f>VLOOKUP($C317,'Seznam aktivit'!$B$3:$H$32,4)</f>
        <v>#N/A</v>
      </c>
      <c r="G317" s="89" t="e">
        <f>VLOOKUP($C317,'Seznam aktivit'!$B$3:$H$32,5)</f>
        <v>#N/A</v>
      </c>
      <c r="H317" s="89" t="e">
        <f>VLOOKUP($C317,'Seznam aktivit'!$B$3:$H$32,6)</f>
        <v>#N/A</v>
      </c>
      <c r="I317" s="90" t="e">
        <f>VLOOKUP($C317,'Seznam aktivit'!$B$3:$H$32,7)</f>
        <v>#N/A</v>
      </c>
      <c r="J317" s="42" t="e">
        <f t="shared" si="45"/>
        <v>#N/A</v>
      </c>
      <c r="K317" s="32">
        <f t="shared" si="46"/>
        <v>0</v>
      </c>
      <c r="L317" s="32">
        <f t="shared" si="46"/>
        <v>0</v>
      </c>
      <c r="M317" s="32">
        <f t="shared" si="51"/>
        <v>0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0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/>
      </c>
      <c r="C318" s="66"/>
      <c r="D318" s="12"/>
      <c r="E318" s="87" t="e">
        <f>VLOOKUP($C318,'Seznam aktivit'!$B$3:$H$32,2)</f>
        <v>#N/A</v>
      </c>
      <c r="F318" s="88" t="e">
        <f>VLOOKUP($C318,'Seznam aktivit'!$B$3:$H$32,4)</f>
        <v>#N/A</v>
      </c>
      <c r="G318" s="89" t="e">
        <f>VLOOKUP($C318,'Seznam aktivit'!$B$3:$H$32,5)</f>
        <v>#N/A</v>
      </c>
      <c r="H318" s="89" t="e">
        <f>VLOOKUP($C318,'Seznam aktivit'!$B$3:$H$32,6)</f>
        <v>#N/A</v>
      </c>
      <c r="I318" s="90" t="e">
        <f>VLOOKUP($C318,'Seznam aktivit'!$B$3:$H$32,7)</f>
        <v>#N/A</v>
      </c>
      <c r="J318" s="42" t="e">
        <f t="shared" si="45"/>
        <v>#N/A</v>
      </c>
      <c r="K318" s="32">
        <f t="shared" si="46"/>
        <v>0</v>
      </c>
      <c r="L318" s="32">
        <f t="shared" si="46"/>
        <v>0</v>
      </c>
      <c r="M318" s="32">
        <f t="shared" si="51"/>
        <v>0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0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/>
      </c>
      <c r="C319" s="66"/>
      <c r="D319" s="12"/>
      <c r="E319" s="87" t="e">
        <f>VLOOKUP($C319,'Seznam aktivit'!$B$3:$H$32,2)</f>
        <v>#N/A</v>
      </c>
      <c r="F319" s="88" t="e">
        <f>VLOOKUP($C319,'Seznam aktivit'!$B$3:$H$32,4)</f>
        <v>#N/A</v>
      </c>
      <c r="G319" s="89" t="e">
        <f>VLOOKUP($C319,'Seznam aktivit'!$B$3:$H$32,5)</f>
        <v>#N/A</v>
      </c>
      <c r="H319" s="89" t="e">
        <f>VLOOKUP($C319,'Seznam aktivit'!$B$3:$H$32,6)</f>
        <v>#N/A</v>
      </c>
      <c r="I319" s="90" t="e">
        <f>VLOOKUP($C319,'Seznam aktivit'!$B$3:$H$32,7)</f>
        <v>#N/A</v>
      </c>
      <c r="J319" s="42" t="e">
        <f t="shared" si="45"/>
        <v>#N/A</v>
      </c>
      <c r="K319" s="32">
        <f t="shared" si="46"/>
        <v>0</v>
      </c>
      <c r="L319" s="32">
        <f t="shared" si="46"/>
        <v>0</v>
      </c>
      <c r="M319" s="32">
        <f t="shared" si="51"/>
        <v>0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0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/>
      </c>
      <c r="C320" s="66"/>
      <c r="D320" s="12"/>
      <c r="E320" s="87" t="e">
        <f>VLOOKUP($C320,'Seznam aktivit'!$B$3:$H$32,2)</f>
        <v>#N/A</v>
      </c>
      <c r="F320" s="88" t="e">
        <f>VLOOKUP($C320,'Seznam aktivit'!$B$3:$H$32,4)</f>
        <v>#N/A</v>
      </c>
      <c r="G320" s="89" t="e">
        <f>VLOOKUP($C320,'Seznam aktivit'!$B$3:$H$32,5)</f>
        <v>#N/A</v>
      </c>
      <c r="H320" s="89" t="e">
        <f>VLOOKUP($C320,'Seznam aktivit'!$B$3:$H$32,6)</f>
        <v>#N/A</v>
      </c>
      <c r="I320" s="90" t="e">
        <f>VLOOKUP($C320,'Seznam aktivit'!$B$3:$H$32,7)</f>
        <v>#N/A</v>
      </c>
      <c r="J320" s="42" t="e">
        <f t="shared" si="45"/>
        <v>#N/A</v>
      </c>
      <c r="K320" s="32">
        <f t="shared" si="46"/>
        <v>0</v>
      </c>
      <c r="L320" s="32">
        <f t="shared" si="46"/>
        <v>0</v>
      </c>
      <c r="M320" s="32">
        <f t="shared" si="51"/>
        <v>0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0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/>
      </c>
      <c r="C321" s="66"/>
      <c r="D321" s="12"/>
      <c r="E321" s="87" t="e">
        <f>VLOOKUP($C321,'Seznam aktivit'!$B$3:$H$32,2)</f>
        <v>#N/A</v>
      </c>
      <c r="F321" s="88" t="e">
        <f>VLOOKUP($C321,'Seznam aktivit'!$B$3:$H$32,4)</f>
        <v>#N/A</v>
      </c>
      <c r="G321" s="89" t="e">
        <f>VLOOKUP($C321,'Seznam aktivit'!$B$3:$H$32,5)</f>
        <v>#N/A</v>
      </c>
      <c r="H321" s="89" t="e">
        <f>VLOOKUP($C321,'Seznam aktivit'!$B$3:$H$32,6)</f>
        <v>#N/A</v>
      </c>
      <c r="I321" s="90" t="e">
        <f>VLOOKUP($C321,'Seznam aktivit'!$B$3:$H$32,7)</f>
        <v>#N/A</v>
      </c>
      <c r="J321" s="42" t="e">
        <f t="shared" si="45"/>
        <v>#N/A</v>
      </c>
      <c r="K321" s="32">
        <f t="shared" si="46"/>
        <v>0</v>
      </c>
      <c r="L321" s="32">
        <f t="shared" si="46"/>
        <v>0</v>
      </c>
      <c r="M321" s="32">
        <f t="shared" si="51"/>
        <v>0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0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/>
      </c>
      <c r="C322" s="66"/>
      <c r="D322" s="12"/>
      <c r="E322" s="87" t="e">
        <f>VLOOKUP($C322,'Seznam aktivit'!$B$3:$H$32,2)</f>
        <v>#N/A</v>
      </c>
      <c r="F322" s="88" t="e">
        <f>VLOOKUP($C322,'Seznam aktivit'!$B$3:$H$32,4)</f>
        <v>#N/A</v>
      </c>
      <c r="G322" s="89" t="e">
        <f>VLOOKUP($C322,'Seznam aktivit'!$B$3:$H$32,5)</f>
        <v>#N/A</v>
      </c>
      <c r="H322" s="89" t="e">
        <f>VLOOKUP($C322,'Seznam aktivit'!$B$3:$H$32,6)</f>
        <v>#N/A</v>
      </c>
      <c r="I322" s="90" t="e">
        <f>VLOOKUP($C322,'Seznam aktivit'!$B$3:$H$32,7)</f>
        <v>#N/A</v>
      </c>
      <c r="J322" s="42" t="e">
        <f t="shared" si="45"/>
        <v>#N/A</v>
      </c>
      <c r="K322" s="32">
        <f t="shared" si="46"/>
        <v>0</v>
      </c>
      <c r="L322" s="32">
        <f t="shared" si="46"/>
        <v>0</v>
      </c>
      <c r="M322" s="32">
        <f t="shared" si="51"/>
        <v>0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0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/>
      </c>
      <c r="C323" s="66"/>
      <c r="D323" s="12"/>
      <c r="E323" s="87" t="e">
        <f>VLOOKUP($C323,'Seznam aktivit'!$B$3:$H$32,2)</f>
        <v>#N/A</v>
      </c>
      <c r="F323" s="88" t="e">
        <f>VLOOKUP($C323,'Seznam aktivit'!$B$3:$H$32,4)</f>
        <v>#N/A</v>
      </c>
      <c r="G323" s="89" t="e">
        <f>VLOOKUP($C323,'Seznam aktivit'!$B$3:$H$32,5)</f>
        <v>#N/A</v>
      </c>
      <c r="H323" s="89" t="e">
        <f>VLOOKUP($C323,'Seznam aktivit'!$B$3:$H$32,6)</f>
        <v>#N/A</v>
      </c>
      <c r="I323" s="90" t="e">
        <f>VLOOKUP($C323,'Seznam aktivit'!$B$3:$H$32,7)</f>
        <v>#N/A</v>
      </c>
      <c r="J323" s="42" t="e">
        <f t="shared" si="45"/>
        <v>#N/A</v>
      </c>
      <c r="K323" s="32">
        <f t="shared" si="46"/>
        <v>0</v>
      </c>
      <c r="L323" s="32">
        <f t="shared" si="46"/>
        <v>0</v>
      </c>
      <c r="M323" s="32">
        <f t="shared" si="51"/>
        <v>0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0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/>
      </c>
      <c r="C324" s="66"/>
      <c r="D324" s="12"/>
      <c r="E324" s="87" t="e">
        <f>VLOOKUP($C324,'Seznam aktivit'!$B$3:$H$32,2)</f>
        <v>#N/A</v>
      </c>
      <c r="F324" s="88" t="e">
        <f>VLOOKUP($C324,'Seznam aktivit'!$B$3:$H$32,4)</f>
        <v>#N/A</v>
      </c>
      <c r="G324" s="89" t="e">
        <f>VLOOKUP($C324,'Seznam aktivit'!$B$3:$H$32,5)</f>
        <v>#N/A</v>
      </c>
      <c r="H324" s="89" t="e">
        <f>VLOOKUP($C324,'Seznam aktivit'!$B$3:$H$32,6)</f>
        <v>#N/A</v>
      </c>
      <c r="I324" s="90" t="e">
        <f>VLOOKUP($C324,'Seznam aktivit'!$B$3:$H$32,7)</f>
        <v>#N/A</v>
      </c>
      <c r="J324" s="42" t="e">
        <f t="shared" ref="J324:J387" si="56">IF(F324&lt;&gt;0,1,0)</f>
        <v>#N/A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0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0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/>
      </c>
      <c r="C325" s="66"/>
      <c r="D325" s="12"/>
      <c r="E325" s="87" t="e">
        <f>VLOOKUP($C325,'Seznam aktivit'!$B$3:$H$32,2)</f>
        <v>#N/A</v>
      </c>
      <c r="F325" s="88" t="e">
        <f>VLOOKUP($C325,'Seznam aktivit'!$B$3:$H$32,4)</f>
        <v>#N/A</v>
      </c>
      <c r="G325" s="89" t="e">
        <f>VLOOKUP($C325,'Seznam aktivit'!$B$3:$H$32,5)</f>
        <v>#N/A</v>
      </c>
      <c r="H325" s="89" t="e">
        <f>VLOOKUP($C325,'Seznam aktivit'!$B$3:$H$32,6)</f>
        <v>#N/A</v>
      </c>
      <c r="I325" s="90" t="e">
        <f>VLOOKUP($C325,'Seznam aktivit'!$B$3:$H$32,7)</f>
        <v>#N/A</v>
      </c>
      <c r="J325" s="42" t="e">
        <f t="shared" si="56"/>
        <v>#N/A</v>
      </c>
      <c r="K325" s="32">
        <f t="shared" si="57"/>
        <v>0</v>
      </c>
      <c r="L325" s="32">
        <f t="shared" si="57"/>
        <v>0</v>
      </c>
      <c r="M325" s="32">
        <f t="shared" si="51"/>
        <v>0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0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/>
      </c>
      <c r="C326" s="66"/>
      <c r="D326" s="12"/>
      <c r="E326" s="87" t="e">
        <f>VLOOKUP($C326,'Seznam aktivit'!$B$3:$H$32,2)</f>
        <v>#N/A</v>
      </c>
      <c r="F326" s="88" t="e">
        <f>VLOOKUP($C326,'Seznam aktivit'!$B$3:$H$32,4)</f>
        <v>#N/A</v>
      </c>
      <c r="G326" s="89" t="e">
        <f>VLOOKUP($C326,'Seznam aktivit'!$B$3:$H$32,5)</f>
        <v>#N/A</v>
      </c>
      <c r="H326" s="89" t="e">
        <f>VLOOKUP($C326,'Seznam aktivit'!$B$3:$H$32,6)</f>
        <v>#N/A</v>
      </c>
      <c r="I326" s="90" t="e">
        <f>VLOOKUP($C326,'Seznam aktivit'!$B$3:$H$32,7)</f>
        <v>#N/A</v>
      </c>
      <c r="J326" s="42" t="e">
        <f t="shared" si="56"/>
        <v>#N/A</v>
      </c>
      <c r="K326" s="32">
        <f t="shared" si="57"/>
        <v>0</v>
      </c>
      <c r="L326" s="32">
        <f t="shared" si="57"/>
        <v>0</v>
      </c>
      <c r="M326" s="32">
        <f t="shared" si="51"/>
        <v>0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0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/>
      </c>
      <c r="C327" s="66"/>
      <c r="D327" s="12"/>
      <c r="E327" s="87" t="e">
        <f>VLOOKUP($C327,'Seznam aktivit'!$B$3:$H$32,2)</f>
        <v>#N/A</v>
      </c>
      <c r="F327" s="88" t="e">
        <f>VLOOKUP($C327,'Seznam aktivit'!$B$3:$H$32,4)</f>
        <v>#N/A</v>
      </c>
      <c r="G327" s="89" t="e">
        <f>VLOOKUP($C327,'Seznam aktivit'!$B$3:$H$32,5)</f>
        <v>#N/A</v>
      </c>
      <c r="H327" s="89" t="e">
        <f>VLOOKUP($C327,'Seznam aktivit'!$B$3:$H$32,6)</f>
        <v>#N/A</v>
      </c>
      <c r="I327" s="90" t="e">
        <f>VLOOKUP($C327,'Seznam aktivit'!$B$3:$H$32,7)</f>
        <v>#N/A</v>
      </c>
      <c r="J327" s="42" t="e">
        <f t="shared" si="56"/>
        <v>#N/A</v>
      </c>
      <c r="K327" s="32">
        <f t="shared" si="57"/>
        <v>0</v>
      </c>
      <c r="L327" s="32">
        <f t="shared" si="57"/>
        <v>0</v>
      </c>
      <c r="M327" s="32">
        <f t="shared" si="51"/>
        <v>0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0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/>
      </c>
      <c r="C328" s="66"/>
      <c r="D328" s="12"/>
      <c r="E328" s="87" t="e">
        <f>VLOOKUP($C328,'Seznam aktivit'!$B$3:$H$32,2)</f>
        <v>#N/A</v>
      </c>
      <c r="F328" s="88" t="e">
        <f>VLOOKUP($C328,'Seznam aktivit'!$B$3:$H$32,4)</f>
        <v>#N/A</v>
      </c>
      <c r="G328" s="89" t="e">
        <f>VLOOKUP($C328,'Seznam aktivit'!$B$3:$H$32,5)</f>
        <v>#N/A</v>
      </c>
      <c r="H328" s="89" t="e">
        <f>VLOOKUP($C328,'Seznam aktivit'!$B$3:$H$32,6)</f>
        <v>#N/A</v>
      </c>
      <c r="I328" s="90" t="e">
        <f>VLOOKUP($C328,'Seznam aktivit'!$B$3:$H$32,7)</f>
        <v>#N/A</v>
      </c>
      <c r="J328" s="42" t="e">
        <f t="shared" si="56"/>
        <v>#N/A</v>
      </c>
      <c r="K328" s="32">
        <f t="shared" si="57"/>
        <v>0</v>
      </c>
      <c r="L328" s="32">
        <f t="shared" si="57"/>
        <v>0</v>
      </c>
      <c r="M328" s="32">
        <f t="shared" si="51"/>
        <v>0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0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/>
      </c>
      <c r="C329" s="66"/>
      <c r="D329" s="12"/>
      <c r="E329" s="87" t="e">
        <f>VLOOKUP($C329,'Seznam aktivit'!$B$3:$H$32,2)</f>
        <v>#N/A</v>
      </c>
      <c r="F329" s="88" t="e">
        <f>VLOOKUP($C329,'Seznam aktivit'!$B$3:$H$32,4)</f>
        <v>#N/A</v>
      </c>
      <c r="G329" s="89" t="e">
        <f>VLOOKUP($C329,'Seznam aktivit'!$B$3:$H$32,5)</f>
        <v>#N/A</v>
      </c>
      <c r="H329" s="89" t="e">
        <f>VLOOKUP($C329,'Seznam aktivit'!$B$3:$H$32,6)</f>
        <v>#N/A</v>
      </c>
      <c r="I329" s="90" t="e">
        <f>VLOOKUP($C329,'Seznam aktivit'!$B$3:$H$32,7)</f>
        <v>#N/A</v>
      </c>
      <c r="J329" s="42" t="e">
        <f t="shared" si="56"/>
        <v>#N/A</v>
      </c>
      <c r="K329" s="32">
        <f t="shared" si="57"/>
        <v>0</v>
      </c>
      <c r="L329" s="32">
        <f t="shared" si="57"/>
        <v>0</v>
      </c>
      <c r="M329" s="32">
        <f t="shared" si="51"/>
        <v>0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0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/>
      </c>
      <c r="C330" s="66"/>
      <c r="D330" s="12"/>
      <c r="E330" s="87" t="e">
        <f>VLOOKUP($C330,'Seznam aktivit'!$B$3:$H$32,2)</f>
        <v>#N/A</v>
      </c>
      <c r="F330" s="88" t="e">
        <f>VLOOKUP($C330,'Seznam aktivit'!$B$3:$H$32,4)</f>
        <v>#N/A</v>
      </c>
      <c r="G330" s="89" t="e">
        <f>VLOOKUP($C330,'Seznam aktivit'!$B$3:$H$32,5)</f>
        <v>#N/A</v>
      </c>
      <c r="H330" s="89" t="e">
        <f>VLOOKUP($C330,'Seznam aktivit'!$B$3:$H$32,6)</f>
        <v>#N/A</v>
      </c>
      <c r="I330" s="90" t="e">
        <f>VLOOKUP($C330,'Seznam aktivit'!$B$3:$H$32,7)</f>
        <v>#N/A</v>
      </c>
      <c r="J330" s="42" t="e">
        <f t="shared" si="56"/>
        <v>#N/A</v>
      </c>
      <c r="K330" s="32">
        <f t="shared" si="57"/>
        <v>0</v>
      </c>
      <c r="L330" s="32">
        <f t="shared" si="57"/>
        <v>0</v>
      </c>
      <c r="M330" s="32">
        <f t="shared" si="51"/>
        <v>0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0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/>
      </c>
      <c r="C331" s="66"/>
      <c r="D331" s="12"/>
      <c r="E331" s="87" t="e">
        <f>VLOOKUP($C331,'Seznam aktivit'!$B$3:$H$32,2)</f>
        <v>#N/A</v>
      </c>
      <c r="F331" s="88" t="e">
        <f>VLOOKUP($C331,'Seznam aktivit'!$B$3:$H$32,4)</f>
        <v>#N/A</v>
      </c>
      <c r="G331" s="89" t="e">
        <f>VLOOKUP($C331,'Seznam aktivit'!$B$3:$H$32,5)</f>
        <v>#N/A</v>
      </c>
      <c r="H331" s="89" t="e">
        <f>VLOOKUP($C331,'Seznam aktivit'!$B$3:$H$32,6)</f>
        <v>#N/A</v>
      </c>
      <c r="I331" s="90" t="e">
        <f>VLOOKUP($C331,'Seznam aktivit'!$B$3:$H$32,7)</f>
        <v>#N/A</v>
      </c>
      <c r="J331" s="42" t="e">
        <f t="shared" si="56"/>
        <v>#N/A</v>
      </c>
      <c r="K331" s="32">
        <f t="shared" si="57"/>
        <v>0</v>
      </c>
      <c r="L331" s="32">
        <f t="shared" si="57"/>
        <v>0</v>
      </c>
      <c r="M331" s="32">
        <f t="shared" si="51"/>
        <v>0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0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/>
      </c>
      <c r="C332" s="66"/>
      <c r="D332" s="12"/>
      <c r="E332" s="87" t="e">
        <f>VLOOKUP($C332,'Seznam aktivit'!$B$3:$H$32,2)</f>
        <v>#N/A</v>
      </c>
      <c r="F332" s="88" t="e">
        <f>VLOOKUP($C332,'Seznam aktivit'!$B$3:$H$32,4)</f>
        <v>#N/A</v>
      </c>
      <c r="G332" s="89" t="e">
        <f>VLOOKUP($C332,'Seznam aktivit'!$B$3:$H$32,5)</f>
        <v>#N/A</v>
      </c>
      <c r="H332" s="89" t="e">
        <f>VLOOKUP($C332,'Seznam aktivit'!$B$3:$H$32,6)</f>
        <v>#N/A</v>
      </c>
      <c r="I332" s="90" t="e">
        <f>VLOOKUP($C332,'Seznam aktivit'!$B$3:$H$32,7)</f>
        <v>#N/A</v>
      </c>
      <c r="J332" s="42" t="e">
        <f t="shared" si="56"/>
        <v>#N/A</v>
      </c>
      <c r="K332" s="32">
        <f t="shared" si="57"/>
        <v>0</v>
      </c>
      <c r="L332" s="32">
        <f t="shared" si="57"/>
        <v>0</v>
      </c>
      <c r="M332" s="32">
        <f t="shared" si="51"/>
        <v>0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0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/>
      </c>
      <c r="C333" s="66"/>
      <c r="D333" s="12"/>
      <c r="E333" s="87" t="e">
        <f>VLOOKUP($C333,'Seznam aktivit'!$B$3:$H$32,2)</f>
        <v>#N/A</v>
      </c>
      <c r="F333" s="88" t="e">
        <f>VLOOKUP($C333,'Seznam aktivit'!$B$3:$H$32,4)</f>
        <v>#N/A</v>
      </c>
      <c r="G333" s="89" t="e">
        <f>VLOOKUP($C333,'Seznam aktivit'!$B$3:$H$32,5)</f>
        <v>#N/A</v>
      </c>
      <c r="H333" s="89" t="e">
        <f>VLOOKUP($C333,'Seznam aktivit'!$B$3:$H$32,6)</f>
        <v>#N/A</v>
      </c>
      <c r="I333" s="90" t="e">
        <f>VLOOKUP($C333,'Seznam aktivit'!$B$3:$H$32,7)</f>
        <v>#N/A</v>
      </c>
      <c r="J333" s="42" t="e">
        <f t="shared" si="56"/>
        <v>#N/A</v>
      </c>
      <c r="K333" s="32">
        <f t="shared" si="57"/>
        <v>0</v>
      </c>
      <c r="L333" s="32">
        <f t="shared" si="57"/>
        <v>0</v>
      </c>
      <c r="M333" s="32">
        <f t="shared" si="51"/>
        <v>0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0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/>
      </c>
      <c r="C334" s="66"/>
      <c r="D334" s="12"/>
      <c r="E334" s="87" t="e">
        <f>VLOOKUP($C334,'Seznam aktivit'!$B$3:$H$32,2)</f>
        <v>#N/A</v>
      </c>
      <c r="F334" s="88" t="e">
        <f>VLOOKUP($C334,'Seznam aktivit'!$B$3:$H$32,4)</f>
        <v>#N/A</v>
      </c>
      <c r="G334" s="89" t="e">
        <f>VLOOKUP($C334,'Seznam aktivit'!$B$3:$H$32,5)</f>
        <v>#N/A</v>
      </c>
      <c r="H334" s="89" t="e">
        <f>VLOOKUP($C334,'Seznam aktivit'!$B$3:$H$32,6)</f>
        <v>#N/A</v>
      </c>
      <c r="I334" s="90" t="e">
        <f>VLOOKUP($C334,'Seznam aktivit'!$B$3:$H$32,7)</f>
        <v>#N/A</v>
      </c>
      <c r="J334" s="42" t="e">
        <f t="shared" si="56"/>
        <v>#N/A</v>
      </c>
      <c r="K334" s="32">
        <f t="shared" si="57"/>
        <v>0</v>
      </c>
      <c r="L334" s="32">
        <f t="shared" si="57"/>
        <v>0</v>
      </c>
      <c r="M334" s="32">
        <f t="shared" si="51"/>
        <v>0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0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/>
      </c>
      <c r="C335" s="66"/>
      <c r="D335" s="12"/>
      <c r="E335" s="87" t="e">
        <f>VLOOKUP($C335,'Seznam aktivit'!$B$3:$H$32,2)</f>
        <v>#N/A</v>
      </c>
      <c r="F335" s="88" t="e">
        <f>VLOOKUP($C335,'Seznam aktivit'!$B$3:$H$32,4)</f>
        <v>#N/A</v>
      </c>
      <c r="G335" s="89" t="e">
        <f>VLOOKUP($C335,'Seznam aktivit'!$B$3:$H$32,5)</f>
        <v>#N/A</v>
      </c>
      <c r="H335" s="89" t="e">
        <f>VLOOKUP($C335,'Seznam aktivit'!$B$3:$H$32,6)</f>
        <v>#N/A</v>
      </c>
      <c r="I335" s="90" t="e">
        <f>VLOOKUP($C335,'Seznam aktivit'!$B$3:$H$32,7)</f>
        <v>#N/A</v>
      </c>
      <c r="J335" s="42" t="e">
        <f t="shared" si="56"/>
        <v>#N/A</v>
      </c>
      <c r="K335" s="32">
        <f t="shared" si="57"/>
        <v>0</v>
      </c>
      <c r="L335" s="32">
        <f t="shared" si="57"/>
        <v>0</v>
      </c>
      <c r="M335" s="32">
        <f t="shared" si="51"/>
        <v>0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0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/>
      </c>
      <c r="C336" s="66"/>
      <c r="D336" s="12"/>
      <c r="E336" s="87" t="e">
        <f>VLOOKUP($C336,'Seznam aktivit'!$B$3:$H$32,2)</f>
        <v>#N/A</v>
      </c>
      <c r="F336" s="88" t="e">
        <f>VLOOKUP($C336,'Seznam aktivit'!$B$3:$H$32,4)</f>
        <v>#N/A</v>
      </c>
      <c r="G336" s="89" t="e">
        <f>VLOOKUP($C336,'Seznam aktivit'!$B$3:$H$32,5)</f>
        <v>#N/A</v>
      </c>
      <c r="H336" s="89" t="e">
        <f>VLOOKUP($C336,'Seznam aktivit'!$B$3:$H$32,6)</f>
        <v>#N/A</v>
      </c>
      <c r="I336" s="90" t="e">
        <f>VLOOKUP($C336,'Seznam aktivit'!$B$3:$H$32,7)</f>
        <v>#N/A</v>
      </c>
      <c r="J336" s="42" t="e">
        <f t="shared" si="56"/>
        <v>#N/A</v>
      </c>
      <c r="K336" s="32">
        <f t="shared" si="57"/>
        <v>0</v>
      </c>
      <c r="L336" s="32">
        <f t="shared" si="57"/>
        <v>0</v>
      </c>
      <c r="M336" s="32">
        <f t="shared" si="51"/>
        <v>0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0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/>
      </c>
      <c r="C337" s="66"/>
      <c r="D337" s="12"/>
      <c r="E337" s="87" t="e">
        <f>VLOOKUP($C337,'Seznam aktivit'!$B$3:$H$32,2)</f>
        <v>#N/A</v>
      </c>
      <c r="F337" s="88" t="e">
        <f>VLOOKUP($C337,'Seznam aktivit'!$B$3:$H$32,4)</f>
        <v>#N/A</v>
      </c>
      <c r="G337" s="89" t="e">
        <f>VLOOKUP($C337,'Seznam aktivit'!$B$3:$H$32,5)</f>
        <v>#N/A</v>
      </c>
      <c r="H337" s="89" t="e">
        <f>VLOOKUP($C337,'Seznam aktivit'!$B$3:$H$32,6)</f>
        <v>#N/A</v>
      </c>
      <c r="I337" s="90" t="e">
        <f>VLOOKUP($C337,'Seznam aktivit'!$B$3:$H$32,7)</f>
        <v>#N/A</v>
      </c>
      <c r="J337" s="42" t="e">
        <f t="shared" si="56"/>
        <v>#N/A</v>
      </c>
      <c r="K337" s="32">
        <f t="shared" si="57"/>
        <v>0</v>
      </c>
      <c r="L337" s="32">
        <f t="shared" si="57"/>
        <v>0</v>
      </c>
      <c r="M337" s="32">
        <f t="shared" si="51"/>
        <v>0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0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101</v>
      </c>
      <c r="L1001" s="62">
        <f t="shared" si="165"/>
        <v>0</v>
      </c>
      <c r="M1001" s="62">
        <f t="shared" ref="M1001" si="166">SUM(M3:M1000)</f>
        <v>0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49</v>
      </c>
      <c r="Q1001" s="62">
        <f t="shared" ref="Q1001" si="170">SUM(Q3:Q1000)</f>
        <v>34</v>
      </c>
      <c r="R1001" s="62">
        <f t="shared" ref="R1001" si="171">SUM(R3:R1000)</f>
        <v>0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34</v>
      </c>
      <c r="Z1001" s="62">
        <f t="shared" ref="Z1001" si="179">SUM(Z3:Z1000)</f>
        <v>135</v>
      </c>
      <c r="AA1001" s="62">
        <f t="shared" ref="AA1001" si="180">SUM(AA3:AA1000)</f>
        <v>98</v>
      </c>
      <c r="AB1001" s="62">
        <f t="shared" ref="AB1001" si="181">SUM(AB3:AB1000)</f>
        <v>37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6</v>
      </c>
      <c r="D4" s="83">
        <f>'Seznam účastníků'!D205</f>
        <v>20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0</v>
      </c>
      <c r="D6" s="83">
        <f>'Seznam účastníků'!F205</f>
        <v>0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3</v>
      </c>
      <c r="D9" s="83">
        <f>'Seznam účastníků'!I205</f>
        <v>20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2</v>
      </c>
      <c r="D10" s="83">
        <f>'Seznam účastníků'!J205</f>
        <v>19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0</v>
      </c>
      <c r="D12" s="83">
        <f>'Seznam účastníků'!K205</f>
        <v>0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2</v>
      </c>
      <c r="D19" s="83">
        <f>'Seznam účastníků'!R205</f>
        <v>19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8</v>
      </c>
      <c r="D20" s="83">
        <f>'Seznam účastníků'!S205</f>
        <v>20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6</v>
      </c>
      <c r="D21" s="83">
        <f>'Seznam účastníků'!T205</f>
        <v>20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2</v>
      </c>
      <c r="D22" s="83">
        <f>'Seznam účastníků'!U205</f>
        <v>20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2025-12-08T09:20:30Z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